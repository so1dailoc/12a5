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TC\Desktop\"/>
    </mc:Choice>
  </mc:AlternateContent>
  <bookViews>
    <workbookView xWindow="0" yWindow="0" windowWidth="19200" windowHeight="7970" activeTab="7"/>
  </bookViews>
  <sheets>
    <sheet name="THỐNG KÊ" sheetId="12" r:id="rId1"/>
    <sheet name="CHI" sheetId="14" r:id="rId2"/>
    <sheet name="2023" sheetId="1" r:id="rId3"/>
    <sheet name="2024" sheetId="9" r:id="rId4"/>
    <sheet name="2025" sheetId="3" r:id="rId5"/>
    <sheet name="2026" sheetId="4" r:id="rId6"/>
    <sheet name="2027" sheetId="5" r:id="rId7"/>
    <sheet name="data" sheetId="19" r:id="rId8"/>
  </sheets>
  <calcPr calcId="162913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_2024_1aaa5ad4-cb96-49b6-9bc5-e2b9be6fe17c" name="_2024" connection="Query - _2024"/>
        </x15:modelTables>
      </x15:dataModel>
    </ext>
  </extLst>
</workbook>
</file>

<file path=xl/calcChain.xml><?xml version="1.0" encoding="utf-8"?>
<calcChain xmlns="http://schemas.openxmlformats.org/spreadsheetml/2006/main">
  <c r="B6" i="14" l="1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F3" i="14"/>
  <c r="Q4" i="12" s="1"/>
  <c r="Q3" i="12"/>
  <c r="Q53" i="9" l="1"/>
  <c r="R53" i="9" s="1"/>
  <c r="B53" i="9"/>
  <c r="Q52" i="9"/>
  <c r="R52" i="9" s="1"/>
  <c r="B52" i="9"/>
  <c r="Q51" i="9"/>
  <c r="R51" i="9" s="1"/>
  <c r="B51" i="9"/>
  <c r="R50" i="9"/>
  <c r="Q50" i="9"/>
  <c r="B50" i="9"/>
  <c r="R49" i="9"/>
  <c r="Q49" i="9"/>
  <c r="B49" i="9"/>
  <c r="R48" i="9"/>
  <c r="Q48" i="9"/>
  <c r="B48" i="9"/>
  <c r="R47" i="9"/>
  <c r="Q47" i="9"/>
  <c r="B47" i="9"/>
  <c r="R46" i="9"/>
  <c r="Q46" i="9"/>
  <c r="B46" i="9"/>
  <c r="Q45" i="9"/>
  <c r="R45" i="9" s="1"/>
  <c r="B45" i="9"/>
  <c r="Q44" i="9"/>
  <c r="R44" i="9" s="1"/>
  <c r="B44" i="9"/>
  <c r="Q43" i="9"/>
  <c r="R43" i="9" s="1"/>
  <c r="B43" i="9"/>
  <c r="R42" i="9"/>
  <c r="Q42" i="9"/>
  <c r="B42" i="9"/>
  <c r="Q41" i="9"/>
  <c r="R41" i="9" s="1"/>
  <c r="B41" i="9"/>
  <c r="R40" i="9"/>
  <c r="Q40" i="9"/>
  <c r="B40" i="9"/>
  <c r="R39" i="9"/>
  <c r="Q39" i="9"/>
  <c r="B39" i="9"/>
  <c r="R38" i="9"/>
  <c r="Q38" i="9"/>
  <c r="B38" i="9"/>
  <c r="Q37" i="9"/>
  <c r="R37" i="9" s="1"/>
  <c r="B37" i="9"/>
  <c r="Q36" i="9"/>
  <c r="R36" i="9" s="1"/>
  <c r="B36" i="9"/>
  <c r="Q35" i="9"/>
  <c r="R35" i="9" s="1"/>
  <c r="B35" i="9"/>
  <c r="Q34" i="9"/>
  <c r="R34" i="9" s="1"/>
  <c r="B34" i="9"/>
  <c r="Q33" i="9"/>
  <c r="R33" i="9" s="1"/>
  <c r="B33" i="9"/>
  <c r="Q32" i="9"/>
  <c r="R32" i="9" s="1"/>
  <c r="B32" i="9"/>
  <c r="Q31" i="9"/>
  <c r="R31" i="9" s="1"/>
  <c r="B31" i="9"/>
  <c r="Q30" i="9"/>
  <c r="R30" i="9" s="1"/>
  <c r="B30" i="9"/>
  <c r="Q29" i="9"/>
  <c r="R29" i="9" s="1"/>
  <c r="B29" i="9"/>
  <c r="Q28" i="9"/>
  <c r="R28" i="9" s="1"/>
  <c r="B28" i="9"/>
  <c r="Q27" i="9"/>
  <c r="R27" i="9" s="1"/>
  <c r="B27" i="9"/>
  <c r="Q26" i="9"/>
  <c r="R26" i="9" s="1"/>
  <c r="B26" i="9"/>
  <c r="Q25" i="9"/>
  <c r="R25" i="9" s="1"/>
  <c r="B25" i="9"/>
  <c r="Q24" i="9"/>
  <c r="R24" i="9" s="1"/>
  <c r="B24" i="9"/>
  <c r="Q23" i="9"/>
  <c r="R23" i="9" s="1"/>
  <c r="B23" i="9"/>
  <c r="Q22" i="9"/>
  <c r="R22" i="9" s="1"/>
  <c r="B22" i="9"/>
  <c r="Q21" i="9"/>
  <c r="R21" i="9" s="1"/>
  <c r="B21" i="9"/>
  <c r="Q20" i="9"/>
  <c r="R20" i="9" s="1"/>
  <c r="B20" i="9"/>
  <c r="Q19" i="9"/>
  <c r="R19" i="9" s="1"/>
  <c r="B19" i="9"/>
  <c r="Q18" i="9"/>
  <c r="R18" i="9" s="1"/>
  <c r="B18" i="9"/>
  <c r="Q17" i="9"/>
  <c r="R17" i="9" s="1"/>
  <c r="B17" i="9"/>
  <c r="Q16" i="9"/>
  <c r="R16" i="9" s="1"/>
  <c r="B16" i="9"/>
  <c r="Q15" i="9"/>
  <c r="R15" i="9" s="1"/>
  <c r="B15" i="9"/>
  <c r="Q14" i="9"/>
  <c r="R14" i="9" s="1"/>
  <c r="B14" i="9"/>
  <c r="Q13" i="9"/>
  <c r="R13" i="9" s="1"/>
  <c r="B13" i="9"/>
  <c r="Q12" i="9"/>
  <c r="R12" i="9" s="1"/>
  <c r="B12" i="9"/>
  <c r="Q11" i="9"/>
  <c r="R11" i="9" s="1"/>
  <c r="B11" i="9"/>
  <c r="Q10" i="9"/>
  <c r="R10" i="9" s="1"/>
  <c r="B10" i="9"/>
  <c r="Q9" i="9"/>
  <c r="R9" i="9" s="1"/>
  <c r="B9" i="9"/>
  <c r="Q8" i="9"/>
  <c r="R8" i="9" s="1"/>
  <c r="B8" i="9"/>
  <c r="Q7" i="9"/>
  <c r="R7" i="9" s="1"/>
  <c r="B7" i="9"/>
  <c r="Q6" i="9"/>
  <c r="R6" i="9" s="1"/>
  <c r="B6" i="9"/>
  <c r="Q5" i="12" l="1"/>
  <c r="R3" i="9"/>
  <c r="R53" i="5"/>
  <c r="Q53" i="5"/>
  <c r="B53" i="5"/>
  <c r="Q52" i="5"/>
  <c r="R52" i="5" s="1"/>
  <c r="B52" i="5"/>
  <c r="Q51" i="5"/>
  <c r="R51" i="5" s="1"/>
  <c r="B51" i="5"/>
  <c r="R50" i="5"/>
  <c r="Q50" i="5"/>
  <c r="B50" i="5"/>
  <c r="R49" i="5"/>
  <c r="Q49" i="5"/>
  <c r="B49" i="5"/>
  <c r="Q48" i="5"/>
  <c r="R48" i="5" s="1"/>
  <c r="B48" i="5"/>
  <c r="Q47" i="5"/>
  <c r="R47" i="5" s="1"/>
  <c r="B47" i="5"/>
  <c r="R46" i="5"/>
  <c r="Q46" i="5"/>
  <c r="B46" i="5"/>
  <c r="R45" i="5"/>
  <c r="Q45" i="5"/>
  <c r="B45" i="5"/>
  <c r="Q44" i="5"/>
  <c r="R44" i="5" s="1"/>
  <c r="B44" i="5"/>
  <c r="Q43" i="5"/>
  <c r="R43" i="5" s="1"/>
  <c r="B43" i="5"/>
  <c r="R42" i="5"/>
  <c r="Q42" i="5"/>
  <c r="B42" i="5"/>
  <c r="R41" i="5"/>
  <c r="Q41" i="5"/>
  <c r="B41" i="5"/>
  <c r="Q40" i="5"/>
  <c r="R40" i="5" s="1"/>
  <c r="B40" i="5"/>
  <c r="Q39" i="5"/>
  <c r="R39" i="5" s="1"/>
  <c r="B39" i="5"/>
  <c r="R38" i="5"/>
  <c r="Q38" i="5"/>
  <c r="B38" i="5"/>
  <c r="R37" i="5"/>
  <c r="Q37" i="5"/>
  <c r="B37" i="5"/>
  <c r="Q36" i="5"/>
  <c r="R36" i="5" s="1"/>
  <c r="B36" i="5"/>
  <c r="Q35" i="5"/>
  <c r="R35" i="5" s="1"/>
  <c r="B35" i="5"/>
  <c r="R34" i="5"/>
  <c r="Q34" i="5"/>
  <c r="B34" i="5"/>
  <c r="R33" i="5"/>
  <c r="Q33" i="5"/>
  <c r="B33" i="5"/>
  <c r="Q32" i="5"/>
  <c r="R32" i="5" s="1"/>
  <c r="B32" i="5"/>
  <c r="Q31" i="5"/>
  <c r="R31" i="5" s="1"/>
  <c r="B31" i="5"/>
  <c r="R30" i="5"/>
  <c r="Q30" i="5"/>
  <c r="B30" i="5"/>
  <c r="R29" i="5"/>
  <c r="Q29" i="5"/>
  <c r="B29" i="5"/>
  <c r="Q28" i="5"/>
  <c r="R28" i="5" s="1"/>
  <c r="B28" i="5"/>
  <c r="Q27" i="5"/>
  <c r="R27" i="5" s="1"/>
  <c r="B27" i="5"/>
  <c r="R26" i="5"/>
  <c r="Q26" i="5"/>
  <c r="B26" i="5"/>
  <c r="R25" i="5"/>
  <c r="Q25" i="5"/>
  <c r="B25" i="5"/>
  <c r="Q24" i="5"/>
  <c r="R24" i="5" s="1"/>
  <c r="B24" i="5"/>
  <c r="Q23" i="5"/>
  <c r="R23" i="5" s="1"/>
  <c r="B23" i="5"/>
  <c r="R22" i="5"/>
  <c r="Q22" i="5"/>
  <c r="B22" i="5"/>
  <c r="R21" i="5"/>
  <c r="Q21" i="5"/>
  <c r="B21" i="5"/>
  <c r="Q20" i="5"/>
  <c r="R20" i="5" s="1"/>
  <c r="B20" i="5"/>
  <c r="Q19" i="5"/>
  <c r="R19" i="5" s="1"/>
  <c r="B19" i="5"/>
  <c r="R18" i="5"/>
  <c r="Q18" i="5"/>
  <c r="B18" i="5"/>
  <c r="R17" i="5"/>
  <c r="Q17" i="5"/>
  <c r="B17" i="5"/>
  <c r="Q16" i="5"/>
  <c r="R16" i="5" s="1"/>
  <c r="B16" i="5"/>
  <c r="Q15" i="5"/>
  <c r="R15" i="5" s="1"/>
  <c r="B15" i="5"/>
  <c r="R14" i="5"/>
  <c r="Q14" i="5"/>
  <c r="B14" i="5"/>
  <c r="R13" i="5"/>
  <c r="Q13" i="5"/>
  <c r="B13" i="5"/>
  <c r="Q12" i="5"/>
  <c r="R12" i="5" s="1"/>
  <c r="B12" i="5"/>
  <c r="Q11" i="5"/>
  <c r="R11" i="5" s="1"/>
  <c r="B11" i="5"/>
  <c r="R10" i="5"/>
  <c r="Q10" i="5"/>
  <c r="B10" i="5"/>
  <c r="Q9" i="5"/>
  <c r="R9" i="5" s="1"/>
  <c r="B9" i="5"/>
  <c r="Q8" i="5"/>
  <c r="R8" i="5" s="1"/>
  <c r="B8" i="5"/>
  <c r="Q7" i="5"/>
  <c r="R7" i="5" s="1"/>
  <c r="B7" i="5"/>
  <c r="Q6" i="5"/>
  <c r="R6" i="5" s="1"/>
  <c r="B6" i="5"/>
  <c r="R53" i="4"/>
  <c r="Q53" i="4"/>
  <c r="B53" i="4"/>
  <c r="Q52" i="4"/>
  <c r="R52" i="4" s="1"/>
  <c r="B52" i="4"/>
  <c r="Q51" i="4"/>
  <c r="R51" i="4" s="1"/>
  <c r="B51" i="4"/>
  <c r="Q50" i="4"/>
  <c r="R50" i="4" s="1"/>
  <c r="B50" i="4"/>
  <c r="Q49" i="4"/>
  <c r="R49" i="4" s="1"/>
  <c r="B49" i="4"/>
  <c r="R48" i="4"/>
  <c r="Q48" i="4"/>
  <c r="B48" i="4"/>
  <c r="R47" i="4"/>
  <c r="Q47" i="4"/>
  <c r="B47" i="4"/>
  <c r="Q46" i="4"/>
  <c r="R46" i="4" s="1"/>
  <c r="B46" i="4"/>
  <c r="R45" i="4"/>
  <c r="Q45" i="4"/>
  <c r="B45" i="4"/>
  <c r="Q44" i="4"/>
  <c r="R44" i="4" s="1"/>
  <c r="B44" i="4"/>
  <c r="Q43" i="4"/>
  <c r="R43" i="4" s="1"/>
  <c r="B43" i="4"/>
  <c r="Q42" i="4"/>
  <c r="R42" i="4" s="1"/>
  <c r="B42" i="4"/>
  <c r="Q41" i="4"/>
  <c r="R41" i="4" s="1"/>
  <c r="B41" i="4"/>
  <c r="R40" i="4"/>
  <c r="Q40" i="4"/>
  <c r="B40" i="4"/>
  <c r="R39" i="4"/>
  <c r="Q39" i="4"/>
  <c r="B39" i="4"/>
  <c r="Q38" i="4"/>
  <c r="R38" i="4" s="1"/>
  <c r="B38" i="4"/>
  <c r="R37" i="4"/>
  <c r="Q37" i="4"/>
  <c r="B37" i="4"/>
  <c r="Q36" i="4"/>
  <c r="R36" i="4" s="1"/>
  <c r="B36" i="4"/>
  <c r="Q35" i="4"/>
  <c r="R35" i="4" s="1"/>
  <c r="B35" i="4"/>
  <c r="Q34" i="4"/>
  <c r="R34" i="4" s="1"/>
  <c r="B34" i="4"/>
  <c r="Q33" i="4"/>
  <c r="R33" i="4" s="1"/>
  <c r="B33" i="4"/>
  <c r="R32" i="4"/>
  <c r="Q32" i="4"/>
  <c r="B32" i="4"/>
  <c r="R31" i="4"/>
  <c r="Q31" i="4"/>
  <c r="B31" i="4"/>
  <c r="Q30" i="4"/>
  <c r="R30" i="4" s="1"/>
  <c r="B30" i="4"/>
  <c r="R29" i="4"/>
  <c r="Q29" i="4"/>
  <c r="B29" i="4"/>
  <c r="Q28" i="4"/>
  <c r="R28" i="4" s="1"/>
  <c r="B28" i="4"/>
  <c r="Q27" i="4"/>
  <c r="R27" i="4" s="1"/>
  <c r="B27" i="4"/>
  <c r="Q26" i="4"/>
  <c r="R26" i="4" s="1"/>
  <c r="B26" i="4"/>
  <c r="Q25" i="4"/>
  <c r="R25" i="4" s="1"/>
  <c r="B25" i="4"/>
  <c r="R24" i="4"/>
  <c r="Q24" i="4"/>
  <c r="B24" i="4"/>
  <c r="R23" i="4"/>
  <c r="Q23" i="4"/>
  <c r="B23" i="4"/>
  <c r="Q22" i="4"/>
  <c r="R22" i="4" s="1"/>
  <c r="B22" i="4"/>
  <c r="R21" i="4"/>
  <c r="Q21" i="4"/>
  <c r="B21" i="4"/>
  <c r="Q20" i="4"/>
  <c r="R20" i="4" s="1"/>
  <c r="B20" i="4"/>
  <c r="Q19" i="4"/>
  <c r="R19" i="4" s="1"/>
  <c r="B19" i="4"/>
  <c r="Q18" i="4"/>
  <c r="R18" i="4" s="1"/>
  <c r="B18" i="4"/>
  <c r="Q17" i="4"/>
  <c r="R17" i="4" s="1"/>
  <c r="B17" i="4"/>
  <c r="R16" i="4"/>
  <c r="Q16" i="4"/>
  <c r="B16" i="4"/>
  <c r="R15" i="4"/>
  <c r="Q15" i="4"/>
  <c r="B15" i="4"/>
  <c r="Q14" i="4"/>
  <c r="R14" i="4" s="1"/>
  <c r="B14" i="4"/>
  <c r="R13" i="4"/>
  <c r="Q13" i="4"/>
  <c r="B13" i="4"/>
  <c r="Q12" i="4"/>
  <c r="R12" i="4" s="1"/>
  <c r="B12" i="4"/>
  <c r="Q11" i="4"/>
  <c r="R11" i="4" s="1"/>
  <c r="B11" i="4"/>
  <c r="Q10" i="4"/>
  <c r="R10" i="4" s="1"/>
  <c r="B10" i="4"/>
  <c r="Q9" i="4"/>
  <c r="R9" i="4" s="1"/>
  <c r="B9" i="4"/>
  <c r="R8" i="4"/>
  <c r="Q8" i="4"/>
  <c r="B8" i="4"/>
  <c r="R7" i="4"/>
  <c r="Q7" i="4"/>
  <c r="B7" i="4"/>
  <c r="Q6" i="4"/>
  <c r="R6" i="4" s="1"/>
  <c r="B6" i="4"/>
  <c r="Q53" i="3"/>
  <c r="R53" i="3" s="1"/>
  <c r="B53" i="3"/>
  <c r="Q52" i="3"/>
  <c r="R52" i="3" s="1"/>
  <c r="B52" i="3"/>
  <c r="Q51" i="3"/>
  <c r="R51" i="3" s="1"/>
  <c r="B51" i="3"/>
  <c r="R50" i="3"/>
  <c r="Q50" i="3"/>
  <c r="B50" i="3"/>
  <c r="R49" i="3"/>
  <c r="Q49" i="3"/>
  <c r="B49" i="3"/>
  <c r="R48" i="3"/>
  <c r="Q48" i="3"/>
  <c r="B48" i="3"/>
  <c r="R47" i="3"/>
  <c r="Q47" i="3"/>
  <c r="B47" i="3"/>
  <c r="Q46" i="3"/>
  <c r="R46" i="3" s="1"/>
  <c r="B46" i="3"/>
  <c r="Q45" i="3"/>
  <c r="R45" i="3" s="1"/>
  <c r="B45" i="3"/>
  <c r="Q44" i="3"/>
  <c r="R44" i="3" s="1"/>
  <c r="B44" i="3"/>
  <c r="Q43" i="3"/>
  <c r="R43" i="3" s="1"/>
  <c r="B43" i="3"/>
  <c r="R42" i="3"/>
  <c r="Q42" i="3"/>
  <c r="B42" i="3"/>
  <c r="R41" i="3"/>
  <c r="Q41" i="3"/>
  <c r="B41" i="3"/>
  <c r="R40" i="3"/>
  <c r="Q40" i="3"/>
  <c r="B40" i="3"/>
  <c r="Q39" i="3"/>
  <c r="R39" i="3" s="1"/>
  <c r="B39" i="3"/>
  <c r="Q38" i="3"/>
  <c r="R38" i="3" s="1"/>
  <c r="B38" i="3"/>
  <c r="Q37" i="3"/>
  <c r="R37" i="3" s="1"/>
  <c r="B37" i="3"/>
  <c r="Q36" i="3"/>
  <c r="R36" i="3" s="1"/>
  <c r="B36" i="3"/>
  <c r="Q35" i="3"/>
  <c r="R35" i="3" s="1"/>
  <c r="B35" i="3"/>
  <c r="R34" i="3"/>
  <c r="Q34" i="3"/>
  <c r="B34" i="3"/>
  <c r="R33" i="3"/>
  <c r="Q33" i="3"/>
  <c r="B33" i="3"/>
  <c r="R32" i="3"/>
  <c r="Q32" i="3"/>
  <c r="B32" i="3"/>
  <c r="Q31" i="3"/>
  <c r="R31" i="3" s="1"/>
  <c r="B31" i="3"/>
  <c r="Q30" i="3"/>
  <c r="R30" i="3" s="1"/>
  <c r="B30" i="3"/>
  <c r="Q29" i="3"/>
  <c r="R29" i="3" s="1"/>
  <c r="B29" i="3"/>
  <c r="Q28" i="3"/>
  <c r="R28" i="3" s="1"/>
  <c r="B28" i="3"/>
  <c r="Q27" i="3"/>
  <c r="R27" i="3" s="1"/>
  <c r="B27" i="3"/>
  <c r="R26" i="3"/>
  <c r="Q26" i="3"/>
  <c r="B26" i="3"/>
  <c r="R25" i="3"/>
  <c r="Q25" i="3"/>
  <c r="B25" i="3"/>
  <c r="R24" i="3"/>
  <c r="Q24" i="3"/>
  <c r="B24" i="3"/>
  <c r="Q23" i="3"/>
  <c r="R23" i="3" s="1"/>
  <c r="B23" i="3"/>
  <c r="Q22" i="3"/>
  <c r="R22" i="3" s="1"/>
  <c r="B22" i="3"/>
  <c r="Q21" i="3"/>
  <c r="R21" i="3" s="1"/>
  <c r="B21" i="3"/>
  <c r="Q20" i="3"/>
  <c r="R20" i="3" s="1"/>
  <c r="B20" i="3"/>
  <c r="Q19" i="3"/>
  <c r="R19" i="3" s="1"/>
  <c r="B19" i="3"/>
  <c r="R18" i="3"/>
  <c r="Q18" i="3"/>
  <c r="B18" i="3"/>
  <c r="R17" i="3"/>
  <c r="Q17" i="3"/>
  <c r="B17" i="3"/>
  <c r="R16" i="3"/>
  <c r="Q16" i="3"/>
  <c r="B16" i="3"/>
  <c r="Q15" i="3"/>
  <c r="R15" i="3" s="1"/>
  <c r="B15" i="3"/>
  <c r="Q14" i="3"/>
  <c r="R14" i="3" s="1"/>
  <c r="B14" i="3"/>
  <c r="Q13" i="3"/>
  <c r="R13" i="3" s="1"/>
  <c r="B13" i="3"/>
  <c r="Q12" i="3"/>
  <c r="R12" i="3" s="1"/>
  <c r="B12" i="3"/>
  <c r="Q11" i="3"/>
  <c r="R11" i="3" s="1"/>
  <c r="B11" i="3"/>
  <c r="R10" i="3"/>
  <c r="Q10" i="3"/>
  <c r="B10" i="3"/>
  <c r="R9" i="3"/>
  <c r="Q9" i="3"/>
  <c r="B9" i="3"/>
  <c r="R8" i="3"/>
  <c r="Q8" i="3"/>
  <c r="B8" i="3"/>
  <c r="Q7" i="3"/>
  <c r="R7" i="3" s="1"/>
  <c r="B7" i="3"/>
  <c r="Q6" i="3"/>
  <c r="R6" i="3" s="1"/>
  <c r="R3" i="3" s="1"/>
  <c r="B6" i="3"/>
  <c r="R3" i="4" l="1"/>
  <c r="R3" i="5"/>
  <c r="Q53" i="1"/>
  <c r="R53" i="1" s="1"/>
  <c r="B53" i="1"/>
  <c r="Q52" i="1"/>
  <c r="R52" i="1" s="1"/>
  <c r="B52" i="1"/>
  <c r="Q51" i="1"/>
  <c r="R51" i="1" s="1"/>
  <c r="B51" i="1"/>
  <c r="Q50" i="1"/>
  <c r="R50" i="1" s="1"/>
  <c r="B50" i="1"/>
  <c r="Q49" i="1"/>
  <c r="R49" i="1" s="1"/>
  <c r="B49" i="1"/>
  <c r="Q48" i="1"/>
  <c r="R48" i="1" s="1"/>
  <c r="B48" i="1"/>
  <c r="Q47" i="1"/>
  <c r="R47" i="1" s="1"/>
  <c r="B47" i="1"/>
  <c r="Q46" i="1"/>
  <c r="R46" i="1" s="1"/>
  <c r="B46" i="1"/>
  <c r="Q45" i="1"/>
  <c r="R45" i="1" s="1"/>
  <c r="B45" i="1"/>
  <c r="Q44" i="1"/>
  <c r="R44" i="1" s="1"/>
  <c r="B44" i="1"/>
  <c r="Q43" i="1"/>
  <c r="R43" i="1" s="1"/>
  <c r="B43" i="1"/>
  <c r="Q42" i="1"/>
  <c r="R42" i="1" s="1"/>
  <c r="B42" i="1"/>
  <c r="Q41" i="1"/>
  <c r="R41" i="1" s="1"/>
  <c r="B41" i="1"/>
  <c r="Q40" i="1"/>
  <c r="R40" i="1" s="1"/>
  <c r="B40" i="1"/>
  <c r="Q39" i="1"/>
  <c r="R39" i="1" s="1"/>
  <c r="B39" i="1"/>
  <c r="Q38" i="1"/>
  <c r="R38" i="1" s="1"/>
  <c r="B38" i="1"/>
  <c r="Q37" i="1"/>
  <c r="R37" i="1" s="1"/>
  <c r="B37" i="1"/>
  <c r="Q36" i="1"/>
  <c r="R36" i="1" s="1"/>
  <c r="B36" i="1"/>
  <c r="Q35" i="1"/>
  <c r="R35" i="1" s="1"/>
  <c r="B35" i="1"/>
  <c r="Q34" i="1"/>
  <c r="R34" i="1" s="1"/>
  <c r="B34" i="1"/>
  <c r="Q33" i="1"/>
  <c r="R33" i="1" s="1"/>
  <c r="B33" i="1"/>
  <c r="Q32" i="1"/>
  <c r="R32" i="1" s="1"/>
  <c r="B32" i="1"/>
  <c r="Q31" i="1"/>
  <c r="R31" i="1" s="1"/>
  <c r="B31" i="1"/>
  <c r="Q30" i="1"/>
  <c r="R30" i="1" s="1"/>
  <c r="B30" i="1"/>
  <c r="Q29" i="1"/>
  <c r="R29" i="1" s="1"/>
  <c r="B29" i="1"/>
  <c r="Q28" i="1"/>
  <c r="R28" i="1" s="1"/>
  <c r="B28" i="1"/>
  <c r="R27" i="1"/>
  <c r="Q27" i="1"/>
  <c r="B27" i="1"/>
  <c r="Q26" i="1"/>
  <c r="R26" i="1" s="1"/>
  <c r="B26" i="1"/>
  <c r="Q25" i="1"/>
  <c r="R25" i="1" s="1"/>
  <c r="B25" i="1"/>
  <c r="Q24" i="1"/>
  <c r="R24" i="1" s="1"/>
  <c r="B24" i="1"/>
  <c r="Q23" i="1"/>
  <c r="R23" i="1" s="1"/>
  <c r="B23" i="1"/>
  <c r="Q22" i="1"/>
  <c r="R22" i="1" s="1"/>
  <c r="B22" i="1"/>
  <c r="Q21" i="1"/>
  <c r="R21" i="1" s="1"/>
  <c r="B21" i="1"/>
  <c r="Q20" i="1"/>
  <c r="R20" i="1" s="1"/>
  <c r="B20" i="1"/>
  <c r="Q19" i="1"/>
  <c r="R19" i="1" s="1"/>
  <c r="B19" i="1"/>
  <c r="Q18" i="1"/>
  <c r="R18" i="1" s="1"/>
  <c r="B18" i="1"/>
  <c r="Q17" i="1"/>
  <c r="R17" i="1" s="1"/>
  <c r="B17" i="1"/>
  <c r="Q16" i="1"/>
  <c r="R16" i="1" s="1"/>
  <c r="B16" i="1"/>
  <c r="Q15" i="1"/>
  <c r="R15" i="1" s="1"/>
  <c r="B15" i="1"/>
  <c r="Q14" i="1"/>
  <c r="R14" i="1" s="1"/>
  <c r="B14" i="1"/>
  <c r="Q13" i="1"/>
  <c r="R13" i="1" s="1"/>
  <c r="B13" i="1"/>
  <c r="Q12" i="1"/>
  <c r="R12" i="1" s="1"/>
  <c r="B12" i="1"/>
  <c r="Q11" i="1"/>
  <c r="R11" i="1" s="1"/>
  <c r="B11" i="1"/>
  <c r="Q10" i="1"/>
  <c r="R10" i="1" s="1"/>
  <c r="B10" i="1"/>
  <c r="Q9" i="1"/>
  <c r="R9" i="1" s="1"/>
  <c r="B9" i="1"/>
  <c r="Q8" i="1"/>
  <c r="R8" i="1" s="1"/>
  <c r="B8" i="1"/>
  <c r="R7" i="1"/>
  <c r="Q7" i="1"/>
  <c r="B7" i="1"/>
  <c r="Q6" i="1"/>
  <c r="R6" i="1" s="1"/>
  <c r="B6" i="1"/>
  <c r="R3" i="1" l="1"/>
</calcChain>
</file>

<file path=xl/connections.xml><?xml version="1.0" encoding="utf-8"?>
<connections xmlns="http://schemas.openxmlformats.org/spreadsheetml/2006/main">
  <connection id="1" name="Query - _2024" description="Connection to the '_2024' query in the workbook." type="100" refreshedVersion="6" minRefreshableVersion="5">
    <extLst>
      <ext xmlns:x15="http://schemas.microsoft.com/office/spreadsheetml/2010/11/main" uri="{DE250136-89BD-433C-8126-D09CA5730AF9}">
        <x15:connection id="51502433-3545-40ba-982f-b9c187e727df">
          <x15:oledbPr connection="Provider=Microsoft.Mashup.OleDb.1;Data Source=$Workbook$;Location=_2024">
            <x15:dbTables>
              <x15:dbTable name="_2024"/>
            </x15:dbTables>
          </x15:oledbPr>
        </x15:connection>
      </ext>
    </extLst>
  </connection>
  <connection id="2" keepAlive="1" name="Query - _2025" description="Connection to the '_2025' query in the workbook." type="5" refreshedVersion="0" background="1">
    <dbPr connection="Provider=Microsoft.Mashup.OleDb.1;Data Source=$Workbook$;Location=_2025" command="SELECT * FROM [_2025]"/>
  </connection>
  <connection id="3" keepAlive="1" name="Query - _2026" description="Connection to the '_2026' query in the workbook." type="5" refreshedVersion="0" background="1">
    <dbPr connection="Provider=Microsoft.Mashup.OleDb.1;Data Source=$Workbook$;Location=_2026" command="SELECT * FROM [_2026]"/>
  </connection>
  <connection id="4" keepAlive="1" name="Query - _TONGGOP" description="Connection to the '_TONGGOP' query in the workbook." type="5" refreshedVersion="6">
    <dbPr connection="Provider=Microsoft.Mashup.OleDb.1;Data Source=$Workbook$;Location=_TONGGOP;Extended Properties=&quot;&quot;" command="SELECT * FROM [_TONGGOP]"/>
  </connection>
  <connection id="5" keepAlive="1" name="Query - Chi" description="Connection to the 'Chi' query in the workbook." type="5" refreshedVersion="6">
    <dbPr connection="Provider=Microsoft.Mashup.OleDb.1;Data Source=$Workbook$;Location=Chi;Extended Properties=&quot;&quot;" command="SELECT * FROM [Chi]"/>
  </connection>
  <connection id="6" keepAlive="1" name="Query - GOP1" description="Connection to the 'GOP' query in the workbook." type="5" refreshedVersion="6" refreshOnLoad="1" saveData="1">
    <dbPr connection="Provider=Microsoft.Mashup.OleDb.1;Data Source=$Workbook$;Location=GOP" command="SELECT * FROM [GOP]"/>
  </connection>
  <connection id="7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<sst xmlns="http://schemas.openxmlformats.org/spreadsheetml/2006/main" count="564" uniqueCount="70">
  <si>
    <t>DANH SÁCH THU</t>
  </si>
  <si>
    <t>Ghi chú:</t>
  </si>
  <si>
    <t>Đã đóng</t>
  </si>
  <si>
    <t>X</t>
  </si>
  <si>
    <t>STT</t>
  </si>
  <si>
    <t>Xinh Gái - Đẹp Trai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</si>
  <si>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</si>
  <si>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</si>
  <si>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</si>
  <si>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</si>
  <si>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</si>
  <si>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</si>
  <si>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</si>
  <si>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</si>
  <si>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</si>
  <si>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</si>
  <si>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</si>
  <si>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</si>
  <si>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Ghi Chú</t>
  </si>
  <si>
    <t>Đã Thu</t>
  </si>
  <si>
    <t>Tổng</t>
  </si>
  <si>
    <t>Hồng Phúc</t>
  </si>
  <si>
    <t>Ánh Nga</t>
  </si>
  <si>
    <t>Văn Quốc</t>
  </si>
  <si>
    <t>Phúc Thịnh</t>
  </si>
  <si>
    <t>Thùy Vân</t>
  </si>
  <si>
    <t>Ánh Ly</t>
  </si>
  <si>
    <t>Đắc Kỳ</t>
  </si>
  <si>
    <t>Bích Oanh</t>
  </si>
  <si>
    <t>Quốc Việt</t>
  </si>
  <si>
    <t>Văn Tú</t>
  </si>
  <si>
    <t>Yến Ngọc</t>
  </si>
  <si>
    <t>Hoài Tín</t>
  </si>
  <si>
    <t>Công Vũ</t>
  </si>
  <si>
    <t>Minh Nguyệt</t>
  </si>
  <si>
    <t>Kim Dung</t>
  </si>
  <si>
    <t>Thùy Dung</t>
  </si>
  <si>
    <t>Như Lệ</t>
  </si>
  <si>
    <t>Kim Ngân</t>
  </si>
  <si>
    <t>Tấn Tuy</t>
  </si>
  <si>
    <t>Minh Sang</t>
  </si>
  <si>
    <t>Trương Thọ</t>
  </si>
  <si>
    <t>Thị Tịnh</t>
  </si>
  <si>
    <t>Thị Phương</t>
  </si>
  <si>
    <t>Thu Hà</t>
  </si>
  <si>
    <t>Xuân Diệu</t>
  </si>
  <si>
    <t>Văn Tuấn</t>
  </si>
  <si>
    <t>Văn Kiên</t>
  </si>
  <si>
    <t>Thái Kiều</t>
  </si>
  <si>
    <t>Kim Yến</t>
  </si>
  <si>
    <t>Bích Hồng</t>
  </si>
  <si>
    <t>Thanh Tịnh</t>
  </si>
  <si>
    <t>Thu đợt đầu đi đám con cô Vi</t>
  </si>
  <si>
    <t>TOP 5</t>
  </si>
  <si>
    <t>TỔNG CHI</t>
  </si>
  <si>
    <t>NGÀY</t>
  </si>
  <si>
    <t>HẠNG MỤC CHI</t>
  </si>
  <si>
    <t>DIỄN GIẢI</t>
  </si>
  <si>
    <t>SỐ TIỀN</t>
  </si>
  <si>
    <t>GHI CHÚ</t>
  </si>
  <si>
    <t>DANH SÁCH CHI</t>
  </si>
  <si>
    <t>Hoàn cảnh khó khăn</t>
  </si>
  <si>
    <t>Chia sẻ cùng bạn Thủy</t>
  </si>
  <si>
    <t>TỔNG</t>
  </si>
  <si>
    <t>Sum of Tổng</t>
  </si>
  <si>
    <t>DANH SÁCH</t>
  </si>
  <si>
    <t>Trai xinh - Gái đẹp</t>
  </si>
  <si>
    <t>NĂM</t>
  </si>
  <si>
    <t>TÊN</t>
  </si>
  <si>
    <t>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</si>
</sst>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9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2"/>
      <color theme="5" tint="-0.499984740745262"/>
      <name val="Calibri"/>
      <family val="2"/>
      <scheme val="minor"/>
    </font>
    <font>
      <b/>
      <sz val="22"/>
      <color theme="9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164" fontId="9" fillId="0" borderId="0" xfId="1" applyNumberFormat="1" applyFont="1" applyAlignment="1"/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/>
    <xf numFmtId="0" fontId="0" fillId="0" borderId="0" xfId="0" applyBorder="1"/>
    <xf numFmtId="0" fontId="8" fillId="0" borderId="0" xfId="0" applyFont="1" applyFill="1" applyBorder="1" applyAlignment="1"/>
    <xf numFmtId="164" fontId="8" fillId="0" borderId="0" xfId="1" applyNumberFormat="1" applyFont="1" applyFill="1" applyBorder="1" applyAlignment="1"/>
    <xf numFmtId="0" fontId="3" fillId="0" borderId="0" xfId="0" applyFont="1" applyFill="1" applyBorder="1" applyAlignment="1"/>
    <xf numFmtId="164" fontId="3" fillId="0" borderId="0" xfId="1" applyNumberFormat="1" applyFont="1" applyFill="1" applyBorder="1" applyAlignment="1"/>
    <xf numFmtId="0" fontId="0" fillId="0" borderId="0" xfId="0" applyFont="1" applyBorder="1" applyAlignment="1"/>
    <xf numFmtId="0" fontId="3" fillId="0" borderId="0" xfId="0" applyFont="1" applyBorder="1" applyAlignment="1">
      <alignment horizontal="center"/>
    </xf>
    <xf numFmtId="0" fontId="7" fillId="0" borderId="0" xfId="0" applyFont="1" applyBorder="1" applyAlignment="1"/>
    <xf numFmtId="0" fontId="8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0" fillId="0" borderId="0" xfId="0" applyFont="1" applyBorder="1"/>
    <xf numFmtId="0" fontId="0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0" fillId="0" borderId="0" xfId="0" applyFont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Fill="1"/>
    <xf numFmtId="3" fontId="0" fillId="0" borderId="0" xfId="0" applyNumberFormat="1" applyFill="1"/>
    <xf numFmtId="164" fontId="0" fillId="0" borderId="0" xfId="1" applyNumberFormat="1" applyFont="1"/>
    <xf numFmtId="0" fontId="0" fillId="0" borderId="0" xfId="0" applyFont="1" applyAlignment="1">
      <alignment horizontal="center"/>
    </xf>
    <xf numFmtId="14" fontId="0" fillId="0" borderId="0" xfId="0" applyNumberFormat="1" applyFont="1" applyAlignment="1"/>
    <xf numFmtId="164" fontId="0" fillId="0" borderId="0" xfId="1" applyNumberFormat="1" applyFont="1" applyAlignment="1"/>
    <xf numFmtId="164" fontId="0" fillId="0" borderId="0" xfId="0" applyNumberFormat="1"/>
    <xf numFmtId="0" fontId="13" fillId="0" borderId="0" xfId="0" applyFont="1" applyAlignment="1"/>
    <xf numFmtId="0" fontId="14" fillId="0" borderId="0" xfId="0" applyFont="1" applyAlignment="1">
      <alignment horizontal="center"/>
    </xf>
    <xf numFmtId="0" fontId="13" fillId="0" borderId="0" xfId="0" applyFont="1"/>
    <xf numFmtId="164" fontId="18" fillId="0" borderId="0" xfId="1" applyNumberFormat="1" applyFont="1" applyAlignment="1"/>
    <xf numFmtId="0" fontId="4" fillId="0" borderId="0" xfId="0" applyFont="1" applyAlignment="1">
      <alignment horizontal="right"/>
    </xf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7" fillId="0" borderId="0" xfId="0" applyNumberFormat="1" applyFon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193">
    <dxf>
      <numFmt numFmtId="3" formatCode="#,##0"/>
    </dxf>
    <dxf>
      <numFmt numFmtId="165" formatCode="_(* #,##0.0_);_(* \(#,##0.0\);_(* &quot;-&quot;??_);_(@_)"/>
    </dxf>
    <dxf>
      <numFmt numFmtId="35" formatCode="_(* #,##0.00_);_(* \(#,##0.00\);_(* &quot;-&quot;??_);_(@_)"/>
    </dxf>
    <dxf>
      <alignment horizontal="right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theme="9"/>
        </left>
        <top style="thin">
          <color theme="9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theme="9"/>
        </left>
        <top style="thin">
          <color theme="9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theme="9"/>
        </left>
        <top style="thin">
          <color theme="9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theme="9"/>
        </left>
        <top style="thin">
          <color theme="9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5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9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theme="9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theme="9"/>
        </left>
        <top style="thin">
          <color theme="9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  <dxf>
      <numFmt numFmtId="164" formatCode="_(* #,##0_);_(* \(#,##0\);_(* &quot;-&quot;??_);_(@_)"/>
    </dxf>
    <dxf>
      <numFmt numFmtId="19" formatCode="dd/mm/yyyy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[a5.xlsx]data!PivotTable3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6">
                    <a:lumMod val="75000"/>
                  </a:schemeClr>
                </a:solidFill>
              </a:rPr>
              <a:t>TOP 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rgbClr val="92D050">
              <a:alpha val="85000"/>
            </a:srgb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0713648293963255"/>
          <c:y val="0.19432888597258677"/>
          <c:w val="0.76230796150481195"/>
          <c:h val="0.754745188101487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data!$J$4:$J$8</c:f>
              <c:strCache>
                <c:ptCount val="5"/>
                <c:pt idx="0">
                  <c:v>Bích Hồng</c:v>
                </c:pt>
                <c:pt idx="1">
                  <c:v>Kim Yến</c:v>
                </c:pt>
                <c:pt idx="2">
                  <c:v>Thanh Tịnh</c:v>
                </c:pt>
                <c:pt idx="3">
                  <c:v>Thị Tịnh</c:v>
                </c:pt>
                <c:pt idx="4">
                  <c:v>Thùy Dung</c:v>
                </c:pt>
              </c:strCache>
            </c:strRef>
          </c:cat>
          <c:val>
            <c:numRef>
              <c:f>data!$K$4:$K$8</c:f>
              <c:numCache>
                <c:formatCode>#,##0</c:formatCode>
                <c:ptCount val="5"/>
                <c:pt idx="0">
                  <c:v>600000</c:v>
                </c:pt>
                <c:pt idx="1">
                  <c:v>600000</c:v>
                </c:pt>
                <c:pt idx="2">
                  <c:v>800000</c:v>
                </c:pt>
                <c:pt idx="3">
                  <c:v>800000</c:v>
                </c:pt>
                <c:pt idx="4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4-40F6-9FF7-5B1EE1D733A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63852655"/>
        <c:axId val="563853487"/>
      </c:barChart>
      <c:catAx>
        <c:axId val="563852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all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853487"/>
        <c:crosses val="autoZero"/>
        <c:auto val="1"/>
        <c:lblAlgn val="ctr"/>
        <c:lblOffset val="100"/>
        <c:noMultiLvlLbl val="0"/>
      </c:catAx>
      <c:valAx>
        <c:axId val="563853487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56385265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31750" cap="flat" cmpd="sng" algn="ctr">
      <a:solidFill>
        <a:schemeClr val="accent6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[a5.xlsx]data!PivotTable5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6">
                    <a:lumMod val="75000"/>
                  </a:schemeClr>
                </a:solidFill>
              </a:rPr>
              <a:t>TỔNG</a:t>
            </a:r>
            <a:r>
              <a:rPr lang="en-US" baseline="0">
                <a:solidFill>
                  <a:schemeClr val="accent6">
                    <a:lumMod val="75000"/>
                  </a:schemeClr>
                </a:solidFill>
              </a:rPr>
              <a:t> THU HẰNG NĂM</a:t>
            </a:r>
            <a:endParaRPr lang="en-US">
              <a:solidFill>
                <a:schemeClr val="accent6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>
              <a:alpha val="85000"/>
            </a:srgb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data!$K$12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data!$J$13:$J$17</c:f>
              <c:strCach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strCache>
            </c:strRef>
          </c:cat>
          <c:val>
            <c:numRef>
              <c:f>data!$K$13:$K$17</c:f>
              <c:numCache>
                <c:formatCode>#,##0</c:formatCode>
                <c:ptCount val="5"/>
                <c:pt idx="0">
                  <c:v>6100000</c:v>
                </c:pt>
                <c:pt idx="1">
                  <c:v>6250000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1-4ED9-B089-7D0FC8C56F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66217471"/>
        <c:axId val="966222879"/>
      </c:barChart>
      <c:catAx>
        <c:axId val="96621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all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222879"/>
        <c:crosses val="autoZero"/>
        <c:auto val="1"/>
        <c:lblAlgn val="ctr"/>
        <c:lblOffset val="100"/>
        <c:noMultiLvlLbl val="0"/>
      </c:catAx>
      <c:valAx>
        <c:axId val="96622287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966217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8575" cap="flat" cmpd="sng" algn="ctr">
      <a:solidFill>
        <a:schemeClr val="accent6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158750</xdr:colOff>
      <xdr:row>0</xdr:row>
      <xdr:rowOff>184150</xdr:rowOff>
    </xdr:from>
    <xdr:to>
      <xdr:col>10</xdr:col>
      <xdr:colOff>527050</xdr:colOff>
      <xdr:row>2</xdr:row>
      <xdr:rowOff>228600</xdr:rowOff>
    </xdr:to>
    <xdr:grpSp>
      <xdr:nvGrpSpPr>
        <xdr:cNvPr id="7" name="Group 6"/>
        <xdr:cNvGrpSpPr/>
      </xdr:nvGrpSpPr>
      <xdr:grpSpPr>
        <a:xfrm>
          <a:off x="4819650" y="184150"/>
          <a:ext cx="1587500" cy="603250"/>
          <a:chOff x="762000" y="603250"/>
          <a:chExt cx="1587500" cy="647700"/>
        </a:xfrm>
      </xdr:grpSpPr>
      <xdr:sp macro="" textlink="$Q$3">
        <xdr:nvSpPr>
          <xdr:cNvPr id="5" name="Rounded Rectangle 4"/>
          <xdr:cNvSpPr/>
        </xdr:nvSpPr>
        <xdr:spPr>
          <a:xfrm>
            <a:off x="762000" y="603250"/>
            <a:ext cx="1587500" cy="647700"/>
          </a:xfrm>
          <a:prstGeom prst="roundRect">
            <a:avLst/>
          </a:prstGeom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FB7E77FD-CDFD-4CC5-ADCF-0290F34DF979}" type="TxLink">
              <a:rPr lang="en-US" sz="1800" b="1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pPr algn="ctr"/>
              <a:t> 12,350,000 </a:t>
            </a:fld>
            <a:endParaRPr lang="en-US" sz="3200" b="1" baseline="0">
              <a:solidFill>
                <a:schemeClr val="bg1"/>
              </a:solidFill>
            </a:endParaRPr>
          </a:p>
        </xdr:txBody>
      </xdr:sp>
      <xdr:sp macro="" textlink="">
        <xdr:nvSpPr>
          <xdr:cNvPr id="6" name="TextBox 5"/>
          <xdr:cNvSpPr txBox="1"/>
        </xdr:nvSpPr>
        <xdr:spPr>
          <a:xfrm>
            <a:off x="1061993" y="635000"/>
            <a:ext cx="987514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400" b="1">
                <a:solidFill>
                  <a:schemeClr val="bg1"/>
                </a:solidFill>
              </a:rPr>
              <a:t>TỔNG</a:t>
            </a:r>
            <a:r>
              <a:rPr lang="en-US" sz="1400" b="1" baseline="0">
                <a:solidFill>
                  <a:schemeClr val="bg1"/>
                </a:solidFill>
              </a:rPr>
              <a:t> THU</a:t>
            </a:r>
            <a:endParaRPr lang="en-US" sz="1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11</xdr:col>
      <xdr:colOff>171450</xdr:colOff>
      <xdr:row>0</xdr:row>
      <xdr:rowOff>184150</xdr:rowOff>
    </xdr:from>
    <xdr:to>
      <xdr:col>13</xdr:col>
      <xdr:colOff>539750</xdr:colOff>
      <xdr:row>2</xdr:row>
      <xdr:rowOff>228600</xdr:rowOff>
    </xdr:to>
    <xdr:grpSp>
      <xdr:nvGrpSpPr>
        <xdr:cNvPr id="8" name="Group 7"/>
        <xdr:cNvGrpSpPr/>
      </xdr:nvGrpSpPr>
      <xdr:grpSpPr>
        <a:xfrm>
          <a:off x="6661150" y="184150"/>
          <a:ext cx="1587500" cy="603250"/>
          <a:chOff x="762000" y="603250"/>
          <a:chExt cx="1587500" cy="647700"/>
        </a:xfrm>
      </xdr:grpSpPr>
      <xdr:sp macro="" textlink="$Q$4">
        <xdr:nvSpPr>
          <xdr:cNvPr id="9" name="Rounded Rectangle 8"/>
          <xdr:cNvSpPr/>
        </xdr:nvSpPr>
        <xdr:spPr>
          <a:xfrm>
            <a:off x="762000" y="603250"/>
            <a:ext cx="1587500" cy="647700"/>
          </a:xfrm>
          <a:prstGeom prst="roundRect">
            <a:avLst/>
          </a:prstGeom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58DBD2D3-5086-4F49-8BA7-C11E818723B5}" type="TxLink">
              <a:rPr lang="en-US" sz="2000" b="1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pPr algn="ctr"/>
              <a:t> 1,500,000 </a:t>
            </a:fld>
            <a:endParaRPr lang="en-US" sz="3600" b="1" baseline="0">
              <a:solidFill>
                <a:schemeClr val="bg1"/>
              </a:solidFill>
            </a:endParaRPr>
          </a:p>
        </xdr:txBody>
      </xdr:sp>
      <xdr:sp macro="" textlink="">
        <xdr:nvSpPr>
          <xdr:cNvPr id="10" name="TextBox 9"/>
          <xdr:cNvSpPr txBox="1"/>
        </xdr:nvSpPr>
        <xdr:spPr>
          <a:xfrm>
            <a:off x="1093604" y="635000"/>
            <a:ext cx="924292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400" b="1">
                <a:solidFill>
                  <a:schemeClr val="bg1"/>
                </a:solidFill>
              </a:rPr>
              <a:t>TỔNG</a:t>
            </a:r>
            <a:r>
              <a:rPr lang="en-US" sz="1400" b="1" baseline="0">
                <a:solidFill>
                  <a:schemeClr val="bg1"/>
                </a:solidFill>
              </a:rPr>
              <a:t> CHI</a:t>
            </a:r>
            <a:endParaRPr lang="en-US" sz="1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13</xdr:col>
      <xdr:colOff>825500</xdr:colOff>
      <xdr:row>0</xdr:row>
      <xdr:rowOff>184150</xdr:rowOff>
    </xdr:from>
    <xdr:to>
      <xdr:col>15</xdr:col>
      <xdr:colOff>279400</xdr:colOff>
      <xdr:row>2</xdr:row>
      <xdr:rowOff>228600</xdr:rowOff>
    </xdr:to>
    <xdr:grpSp>
      <xdr:nvGrpSpPr>
        <xdr:cNvPr id="11" name="Group 10"/>
        <xdr:cNvGrpSpPr/>
      </xdr:nvGrpSpPr>
      <xdr:grpSpPr>
        <a:xfrm>
          <a:off x="8534400" y="184150"/>
          <a:ext cx="1587500" cy="603250"/>
          <a:chOff x="762000" y="603250"/>
          <a:chExt cx="1587500" cy="647700"/>
        </a:xfrm>
      </xdr:grpSpPr>
      <xdr:sp macro="" textlink="$Q$5">
        <xdr:nvSpPr>
          <xdr:cNvPr id="12" name="Rounded Rectangle 11"/>
          <xdr:cNvSpPr/>
        </xdr:nvSpPr>
        <xdr:spPr>
          <a:xfrm>
            <a:off x="762000" y="603250"/>
            <a:ext cx="1587500" cy="647700"/>
          </a:xfrm>
          <a:prstGeom prst="roundRect">
            <a:avLst/>
          </a:prstGeom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05EF1452-39FE-49B6-B417-7BC540DFC08D}" type="TxLink">
              <a:rPr lang="en-US" sz="1800" b="1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pPr algn="ctr"/>
              <a:t> 10,850,000 </a:t>
            </a:fld>
            <a:endParaRPr lang="en-US" sz="3200" b="1" baseline="0">
              <a:solidFill>
                <a:schemeClr val="bg1"/>
              </a:solidFill>
            </a:endParaRPr>
          </a:p>
        </xdr:txBody>
      </xdr:sp>
      <xdr:sp macro="" textlink="">
        <xdr:nvSpPr>
          <xdr:cNvPr id="13" name="TextBox 12"/>
          <xdr:cNvSpPr txBox="1"/>
        </xdr:nvSpPr>
        <xdr:spPr>
          <a:xfrm>
            <a:off x="1112008" y="635000"/>
            <a:ext cx="887487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400" b="1">
                <a:solidFill>
                  <a:schemeClr val="bg1"/>
                </a:solidFill>
              </a:rPr>
              <a:t>QUỸ</a:t>
            </a:r>
            <a:r>
              <a:rPr lang="en-US" sz="1400" b="1" baseline="0">
                <a:solidFill>
                  <a:schemeClr val="bg1"/>
                </a:solidFill>
              </a:rPr>
              <a:t> TỒN</a:t>
            </a:r>
            <a:endParaRPr lang="en-US" sz="1400" b="1">
              <a:solidFill>
                <a:schemeClr val="bg1"/>
              </a:solidFill>
            </a:endParaRPr>
          </a:p>
        </xdr:txBody>
      </xdr:sp>
    </xdr:grpSp>
    <xdr:clientData/>
  </xdr:twoCellAnchor>
  <xdr:oneCellAnchor>
    <xdr:from>
      <xdr:col>1</xdr:col>
      <xdr:colOff>679450</xdr:colOff>
      <xdr:row>0</xdr:row>
      <xdr:rowOff>355601</xdr:rowOff>
    </xdr:from>
    <xdr:ext cx="3321050" cy="440955"/>
    <xdr:sp macro="" textlink="">
      <xdr:nvSpPr>
        <xdr:cNvPr id="16" name="TextBox 15"/>
        <xdr:cNvSpPr txBox="1"/>
      </xdr:nvSpPr>
      <xdr:spPr>
        <a:xfrm>
          <a:off x="908050" y="355601"/>
          <a:ext cx="3321050" cy="4409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 i="1">
              <a:solidFill>
                <a:schemeClr val="accent6">
                  <a:lumMod val="60000"/>
                  <a:lumOff val="40000"/>
                </a:schemeClr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CHO ĐI</a:t>
          </a:r>
          <a:r>
            <a:rPr lang="en-US" sz="2400" b="1" i="1" baseline="0">
              <a:solidFill>
                <a:schemeClr val="accent6">
                  <a:lumMod val="60000"/>
                  <a:lumOff val="40000"/>
                </a:schemeClr>
              </a:solidFill>
              <a:latin typeface="Courier New" panose="02070309020205020404" pitchFamily="49" charset="0"/>
              <a:cs typeface="Courier New" panose="02070309020205020404" pitchFamily="49" charset="0"/>
            </a:rPr>
            <a:t> LÀ CÒN MÃI</a:t>
          </a:r>
          <a:endParaRPr lang="en-US" sz="2400" b="1" i="1">
            <a:solidFill>
              <a:schemeClr val="accent6">
                <a:lumMod val="60000"/>
                <a:lumOff val="40000"/>
              </a:schemeClr>
            </a:solidFill>
            <a:latin typeface="Courier New" panose="02070309020205020404" pitchFamily="49" charset="0"/>
            <a:cs typeface="Courier New" panose="02070309020205020404" pitchFamily="49" charset="0"/>
          </a:endParaRPr>
        </a:p>
      </xdr:txBody>
    </xdr:sp>
    <xdr:clientData/>
  </xdr:oneCellAnchor>
  <xdr:oneCellAnchor>
    <xdr:from>
      <xdr:col>1</xdr:col>
      <xdr:colOff>0</xdr:colOff>
      <xdr:row>0</xdr:row>
      <xdr:rowOff>25400</xdr:rowOff>
    </xdr:from>
    <xdr:ext cx="1117600" cy="843757"/>
    <xdr:sp macro="" textlink="">
      <xdr:nvSpPr>
        <xdr:cNvPr id="15" name="TextBox 14"/>
        <xdr:cNvSpPr txBox="1"/>
      </xdr:nvSpPr>
      <xdr:spPr>
        <a:xfrm>
          <a:off x="228600" y="25400"/>
          <a:ext cx="111760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4800" b="1">
              <a:solidFill>
                <a:schemeClr val="accent6">
                  <a:lumMod val="75000"/>
                </a:schemeClr>
              </a:solidFill>
            </a:rPr>
            <a:t>A5</a:t>
          </a:r>
        </a:p>
      </xdr:txBody>
    </xdr:sp>
    <xdr:clientData/>
  </xdr:oneCellAnchor>
  <xdr:twoCellAnchor>
    <xdr:from>
      <xdr:col>9</xdr:col>
      <xdr:colOff>395725</xdr:colOff>
      <xdr:row>3</xdr:row>
      <xdr:rowOff>147247</xdr:rowOff>
    </xdr:from>
    <xdr:to>
      <xdr:col>15</xdr:col>
      <xdr:colOff>387626</xdr:colOff>
      <xdr:row>18</xdr:row>
      <xdr:rowOff>132706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9203</xdr:colOff>
      <xdr:row>3</xdr:row>
      <xdr:rowOff>147247</xdr:rowOff>
    </xdr:from>
    <xdr:to>
      <xdr:col>9</xdr:col>
      <xdr:colOff>145405</xdr:colOff>
      <xdr:row>18</xdr:row>
      <xdr:rowOff>129577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TC" refreshedDate="45415.529934143517" createdVersion="6" refreshedVersion="6" minRefreshableVersion="3" recordCount="1">
  <cacheSource type="external" connectionId="5"/>
  <cacheFields count="6">
    <cacheField name="STT" numFmtId="0">
      <sharedItems containsSemiMixedTypes="0" containsString="0" containsNumber="1" containsInteger="1" minValue="1" maxValue="1" count="1">
        <n v="1"/>
      </sharedItems>
    </cacheField>
    <cacheField name="NGÀY" numFmtId="0">
      <sharedItems containsSemiMixedTypes="0" containsDate="1" containsString="0" minDate="2023-11-05T00:00:00" maxDate="2024-06-15T00:00:00" count="5">
        <d v="2023-11-05T00:00:00"/>
        <d v="2024-05-03T00:00:00" u="1"/>
        <d v="2024-05-15T00:00:00" u="1"/>
        <d v="2023-11-07T00:00:00" u="1"/>
        <d v="2024-06-14T00:00:00" u="1"/>
      </sharedItems>
    </cacheField>
    <cacheField name="HẠNG MỤC CHI" numFmtId="0">
      <sharedItems count="3">
        <s v="Hoàn cảnh khó khăn"/>
        <s v="test" u="1"/>
        <s v="qưe" u="1"/>
      </sharedItems>
    </cacheField>
    <cacheField name="DIỄN GIẢI" numFmtId="0">
      <sharedItems count="1">
        <s v="Chia sẻ cùng bạn Thủy"/>
      </sharedItems>
    </cacheField>
    <cacheField name="SỐ TIỀN" numFmtId="0">
      <sharedItems containsSemiMixedTypes="0" containsString="0" containsNumber="1" containsInteger="1" minValue="1500000" maxValue="1500000" count="1">
        <n v="1500000"/>
      </sharedItems>
    </cacheField>
    <cacheField name="GHI CHÚ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TC" refreshedDate="45415.589509375" createdVersion="6" refreshedVersion="6" minRefreshableVersion="3" recordCount="156">
  <cacheSource type="external" connectionId="4"/>
  <cacheFields count="18">
    <cacheField name="STT" numFmtId="0">
      <sharedItems containsSemiMixedTypes="0" containsString="0" containsNumber="1" containsInteger="1" minValue="1" maxValue="32"/>
    </cacheField>
    <cacheField name="Xinh Gái - Đẹp Trai" numFmtId="0">
      <sharedItems count="32">
        <s v="Hồng Phúc"/>
        <s v="Ánh Nga"/>
        <s v="Văn Quốc"/>
        <s v="Phúc Thịnh"/>
        <s v="Thùy Vân"/>
        <s v="Ánh Ly"/>
        <s v="Đắc Kỳ"/>
        <s v="Bích Oanh"/>
        <s v="Quốc Việt"/>
        <s v="Văn Tú"/>
        <s v="Yến Ngọc"/>
        <s v="Hoài Tín"/>
        <s v="Công Vũ"/>
        <s v="Minh Nguyệt"/>
        <s v="Kim Dung"/>
        <s v="Thùy Dung"/>
        <s v="Như Lệ"/>
        <s v="Kim Ngân"/>
        <s v="Tấn Tuy"/>
        <s v="Minh Sang"/>
        <s v="Trương Thọ"/>
        <s v="Thị Tịnh"/>
        <s v="Thị Phương"/>
        <s v="Thu Hà"/>
        <s v="Xuân Diệu"/>
        <s v="Văn Tuấn"/>
        <s v="Văn Kiên"/>
        <s v="Thái Kiều"/>
        <s v="Kim Yến"/>
        <s v="Bích Hồng"/>
        <s v="Thanh Tịnh"/>
        <s v="Thu đợt đầu đi đám con cô Vi"/>
      </sharedItems>
    </cacheField>
    <cacheField name="T1" numFmtId="0">
      <sharedItems containsBlank="1" count="2">
        <m/>
        <s v="X"/>
      </sharedItems>
    </cacheField>
    <cacheField name="T2" numFmtId="0">
      <sharedItems containsBlank="1" count="2">
        <m/>
        <s v="X"/>
      </sharedItems>
    </cacheField>
    <cacheField name="T3" numFmtId="0">
      <sharedItems containsBlank="1" count="2">
        <m/>
        <s v="X"/>
      </sharedItems>
    </cacheField>
    <cacheField name="T4" numFmtId="0">
      <sharedItems containsBlank="1" count="2">
        <m/>
        <s v="X"/>
      </sharedItems>
    </cacheField>
    <cacheField name="T5" numFmtId="0">
      <sharedItems containsBlank="1" count="2">
        <m/>
        <s v="X"/>
      </sharedItems>
    </cacheField>
    <cacheField name="T6" numFmtId="0">
      <sharedItems containsBlank="1" count="2">
        <m/>
        <s v="X"/>
      </sharedItems>
    </cacheField>
    <cacheField name="T7" numFmtId="0">
      <sharedItems containsBlank="1" count="2">
        <m/>
        <s v="X"/>
      </sharedItems>
    </cacheField>
    <cacheField name="T8" numFmtId="0">
      <sharedItems containsBlank="1" count="2">
        <m/>
        <s v="X"/>
      </sharedItems>
    </cacheField>
    <cacheField name="T9" numFmtId="0">
      <sharedItems containsBlank="1" count="2">
        <m/>
        <s v="X"/>
      </sharedItems>
    </cacheField>
    <cacheField name="T10" numFmtId="0">
      <sharedItems containsBlank="1" count="2">
        <m/>
        <s v="X"/>
      </sharedItems>
    </cacheField>
    <cacheField name="T11" numFmtId="0">
      <sharedItems containsBlank="1" count="2">
        <m/>
        <s v="X"/>
      </sharedItems>
    </cacheField>
    <cacheField name="T12" numFmtId="0">
      <sharedItems containsBlank="1" count="2">
        <m/>
        <s v="X"/>
      </sharedItems>
    </cacheField>
    <cacheField name="Ghi Chú" numFmtId="0">
      <sharedItems containsString="0" containsBlank="1" containsNumber="1" containsInteger="1" minValue="200000" maxValue="200000" count="2">
        <m/>
        <n v="200000"/>
      </sharedItems>
    </cacheField>
    <cacheField name="Đã Thu" numFmtId="0">
      <sharedItems containsSemiMixedTypes="0" containsString="0" containsNumber="1" containsInteger="1" minValue="0" maxValue="12" count="9">
        <n v="0"/>
        <n v="4"/>
        <n v="1"/>
        <n v="6"/>
        <n v="2"/>
        <n v="3"/>
        <n v="12"/>
        <n v="5"/>
        <n v="8"/>
      </sharedItems>
    </cacheField>
    <cacheField name="Tổng" numFmtId="0">
      <sharedItems containsSemiMixedTypes="0" containsString="0" containsNumber="1" containsInteger="1" minValue="0" maxValue="600000" count="9">
        <n v="0"/>
        <n v="200000"/>
        <n v="50000"/>
        <n v="300000"/>
        <n v="100000"/>
        <n v="150000"/>
        <n v="600000"/>
        <n v="250000"/>
        <n v="400000"/>
      </sharedItems>
    </cacheField>
    <cacheField name="Năm" numFmtId="0">
      <sharedItems containsSemiMixedTypes="0" containsString="0" containsNumber="1" containsInteger="1" minValue="2023" maxValue="2027" count="5">
        <n v="2027"/>
        <n v="2023"/>
        <n v="2024"/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6">
  <r>
    <n v="1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x v="1"/>
    <x v="0"/>
    <x v="0"/>
    <x v="0"/>
    <x v="0"/>
    <x v="0"/>
    <x v="0"/>
    <x v="0"/>
    <x v="0"/>
    <x v="0"/>
    <x v="0"/>
    <x v="0"/>
    <x v="0"/>
    <x v="0"/>
    <x v="0"/>
    <x v="0"/>
    <x v="0"/>
  </r>
  <r>
    <n v="3"/>
    <x v="2"/>
    <x v="0"/>
    <x v="0"/>
    <x v="0"/>
    <x v="0"/>
    <x v="0"/>
    <x v="0"/>
    <x v="0"/>
    <x v="0"/>
    <x v="0"/>
    <x v="0"/>
    <x v="0"/>
    <x v="0"/>
    <x v="0"/>
    <x v="0"/>
    <x v="0"/>
    <x v="0"/>
  </r>
  <r>
    <n v="4"/>
    <x v="3"/>
    <x v="0"/>
    <x v="0"/>
    <x v="0"/>
    <x v="0"/>
    <x v="0"/>
    <x v="0"/>
    <x v="0"/>
    <x v="0"/>
    <x v="0"/>
    <x v="0"/>
    <x v="0"/>
    <x v="0"/>
    <x v="0"/>
    <x v="0"/>
    <x v="0"/>
    <x v="0"/>
  </r>
  <r>
    <n v="5"/>
    <x v="4"/>
    <x v="0"/>
    <x v="0"/>
    <x v="0"/>
    <x v="0"/>
    <x v="0"/>
    <x v="0"/>
    <x v="0"/>
    <x v="0"/>
    <x v="0"/>
    <x v="0"/>
    <x v="0"/>
    <x v="0"/>
    <x v="0"/>
    <x v="0"/>
    <x v="0"/>
    <x v="0"/>
  </r>
  <r>
    <n v="6"/>
    <x v="5"/>
    <x v="0"/>
    <x v="0"/>
    <x v="0"/>
    <x v="0"/>
    <x v="0"/>
    <x v="0"/>
    <x v="0"/>
    <x v="0"/>
    <x v="0"/>
    <x v="0"/>
    <x v="0"/>
    <x v="0"/>
    <x v="0"/>
    <x v="0"/>
    <x v="0"/>
    <x v="0"/>
  </r>
  <r>
    <n v="7"/>
    <x v="6"/>
    <x v="0"/>
    <x v="0"/>
    <x v="0"/>
    <x v="0"/>
    <x v="0"/>
    <x v="0"/>
    <x v="0"/>
    <x v="0"/>
    <x v="0"/>
    <x v="0"/>
    <x v="0"/>
    <x v="0"/>
    <x v="0"/>
    <x v="0"/>
    <x v="0"/>
    <x v="0"/>
  </r>
  <r>
    <n v="8"/>
    <x v="7"/>
    <x v="0"/>
    <x v="0"/>
    <x v="0"/>
    <x v="0"/>
    <x v="0"/>
    <x v="0"/>
    <x v="0"/>
    <x v="0"/>
    <x v="0"/>
    <x v="0"/>
    <x v="0"/>
    <x v="0"/>
    <x v="0"/>
    <x v="0"/>
    <x v="0"/>
    <x v="0"/>
  </r>
  <r>
    <n v="9"/>
    <x v="8"/>
    <x v="0"/>
    <x v="0"/>
    <x v="0"/>
    <x v="0"/>
    <x v="0"/>
    <x v="0"/>
    <x v="0"/>
    <x v="0"/>
    <x v="0"/>
    <x v="0"/>
    <x v="0"/>
    <x v="0"/>
    <x v="0"/>
    <x v="0"/>
    <x v="0"/>
    <x v="0"/>
  </r>
  <r>
    <n v="10"/>
    <x v="9"/>
    <x v="0"/>
    <x v="0"/>
    <x v="0"/>
    <x v="0"/>
    <x v="0"/>
    <x v="0"/>
    <x v="0"/>
    <x v="0"/>
    <x v="0"/>
    <x v="0"/>
    <x v="0"/>
    <x v="0"/>
    <x v="0"/>
    <x v="0"/>
    <x v="0"/>
    <x v="0"/>
  </r>
  <r>
    <n v="11"/>
    <x v="10"/>
    <x v="0"/>
    <x v="0"/>
    <x v="0"/>
    <x v="0"/>
    <x v="0"/>
    <x v="0"/>
    <x v="0"/>
    <x v="0"/>
    <x v="0"/>
    <x v="0"/>
    <x v="0"/>
    <x v="0"/>
    <x v="0"/>
    <x v="0"/>
    <x v="0"/>
    <x v="0"/>
  </r>
  <r>
    <n v="12"/>
    <x v="11"/>
    <x v="0"/>
    <x v="0"/>
    <x v="0"/>
    <x v="0"/>
    <x v="0"/>
    <x v="0"/>
    <x v="0"/>
    <x v="0"/>
    <x v="0"/>
    <x v="0"/>
    <x v="0"/>
    <x v="0"/>
    <x v="0"/>
    <x v="0"/>
    <x v="0"/>
    <x v="0"/>
  </r>
  <r>
    <n v="13"/>
    <x v="12"/>
    <x v="0"/>
    <x v="0"/>
    <x v="0"/>
    <x v="0"/>
    <x v="0"/>
    <x v="0"/>
    <x v="0"/>
    <x v="0"/>
    <x v="0"/>
    <x v="0"/>
    <x v="0"/>
    <x v="0"/>
    <x v="0"/>
    <x v="0"/>
    <x v="0"/>
    <x v="0"/>
  </r>
  <r>
    <n v="14"/>
    <x v="13"/>
    <x v="0"/>
    <x v="0"/>
    <x v="0"/>
    <x v="0"/>
    <x v="0"/>
    <x v="0"/>
    <x v="0"/>
    <x v="0"/>
    <x v="0"/>
    <x v="0"/>
    <x v="0"/>
    <x v="0"/>
    <x v="0"/>
    <x v="0"/>
    <x v="0"/>
    <x v="0"/>
  </r>
  <r>
    <n v="15"/>
    <x v="14"/>
    <x v="0"/>
    <x v="0"/>
    <x v="0"/>
    <x v="0"/>
    <x v="0"/>
    <x v="0"/>
    <x v="0"/>
    <x v="0"/>
    <x v="0"/>
    <x v="0"/>
    <x v="0"/>
    <x v="0"/>
    <x v="0"/>
    <x v="0"/>
    <x v="0"/>
    <x v="0"/>
  </r>
  <r>
    <n v="16"/>
    <x v="15"/>
    <x v="0"/>
    <x v="0"/>
    <x v="0"/>
    <x v="0"/>
    <x v="0"/>
    <x v="0"/>
    <x v="0"/>
    <x v="0"/>
    <x v="0"/>
    <x v="0"/>
    <x v="0"/>
    <x v="0"/>
    <x v="0"/>
    <x v="0"/>
    <x v="0"/>
    <x v="0"/>
  </r>
  <r>
    <n v="17"/>
    <x v="16"/>
    <x v="0"/>
    <x v="0"/>
    <x v="0"/>
    <x v="0"/>
    <x v="0"/>
    <x v="0"/>
    <x v="0"/>
    <x v="0"/>
    <x v="0"/>
    <x v="0"/>
    <x v="0"/>
    <x v="0"/>
    <x v="0"/>
    <x v="0"/>
    <x v="0"/>
    <x v="0"/>
  </r>
  <r>
    <n v="18"/>
    <x v="17"/>
    <x v="0"/>
    <x v="0"/>
    <x v="0"/>
    <x v="0"/>
    <x v="0"/>
    <x v="0"/>
    <x v="0"/>
    <x v="0"/>
    <x v="0"/>
    <x v="0"/>
    <x v="0"/>
    <x v="0"/>
    <x v="0"/>
    <x v="0"/>
    <x v="0"/>
    <x v="0"/>
  </r>
  <r>
    <n v="19"/>
    <x v="18"/>
    <x v="0"/>
    <x v="0"/>
    <x v="0"/>
    <x v="0"/>
    <x v="0"/>
    <x v="0"/>
    <x v="0"/>
    <x v="0"/>
    <x v="0"/>
    <x v="0"/>
    <x v="0"/>
    <x v="0"/>
    <x v="0"/>
    <x v="0"/>
    <x v="0"/>
    <x v="0"/>
  </r>
  <r>
    <n v="20"/>
    <x v="19"/>
    <x v="0"/>
    <x v="0"/>
    <x v="0"/>
    <x v="0"/>
    <x v="0"/>
    <x v="0"/>
    <x v="0"/>
    <x v="0"/>
    <x v="0"/>
    <x v="0"/>
    <x v="0"/>
    <x v="0"/>
    <x v="0"/>
    <x v="0"/>
    <x v="0"/>
    <x v="0"/>
  </r>
  <r>
    <n v="21"/>
    <x v="20"/>
    <x v="0"/>
    <x v="0"/>
    <x v="0"/>
    <x v="0"/>
    <x v="0"/>
    <x v="0"/>
    <x v="0"/>
    <x v="0"/>
    <x v="0"/>
    <x v="0"/>
    <x v="0"/>
    <x v="0"/>
    <x v="0"/>
    <x v="0"/>
    <x v="0"/>
    <x v="0"/>
  </r>
  <r>
    <n v="22"/>
    <x v="21"/>
    <x v="0"/>
    <x v="0"/>
    <x v="0"/>
    <x v="0"/>
    <x v="0"/>
    <x v="0"/>
    <x v="0"/>
    <x v="0"/>
    <x v="0"/>
    <x v="0"/>
    <x v="0"/>
    <x v="0"/>
    <x v="0"/>
    <x v="0"/>
    <x v="0"/>
    <x v="0"/>
  </r>
  <r>
    <n v="23"/>
    <x v="22"/>
    <x v="0"/>
    <x v="0"/>
    <x v="0"/>
    <x v="0"/>
    <x v="0"/>
    <x v="0"/>
    <x v="0"/>
    <x v="0"/>
    <x v="0"/>
    <x v="0"/>
    <x v="0"/>
    <x v="0"/>
    <x v="0"/>
    <x v="0"/>
    <x v="0"/>
    <x v="0"/>
  </r>
  <r>
    <n v="24"/>
    <x v="23"/>
    <x v="0"/>
    <x v="0"/>
    <x v="0"/>
    <x v="0"/>
    <x v="0"/>
    <x v="0"/>
    <x v="0"/>
    <x v="0"/>
    <x v="0"/>
    <x v="0"/>
    <x v="0"/>
    <x v="0"/>
    <x v="0"/>
    <x v="0"/>
    <x v="0"/>
    <x v="0"/>
  </r>
  <r>
    <n v="25"/>
    <x v="24"/>
    <x v="0"/>
    <x v="0"/>
    <x v="0"/>
    <x v="0"/>
    <x v="0"/>
    <x v="0"/>
    <x v="0"/>
    <x v="0"/>
    <x v="0"/>
    <x v="0"/>
    <x v="0"/>
    <x v="0"/>
    <x v="0"/>
    <x v="0"/>
    <x v="0"/>
    <x v="0"/>
  </r>
  <r>
    <n v="26"/>
    <x v="25"/>
    <x v="0"/>
    <x v="0"/>
    <x v="0"/>
    <x v="0"/>
    <x v="0"/>
    <x v="0"/>
    <x v="0"/>
    <x v="0"/>
    <x v="0"/>
    <x v="0"/>
    <x v="0"/>
    <x v="0"/>
    <x v="0"/>
    <x v="0"/>
    <x v="0"/>
    <x v="0"/>
  </r>
  <r>
    <n v="27"/>
    <x v="26"/>
    <x v="0"/>
    <x v="0"/>
    <x v="0"/>
    <x v="0"/>
    <x v="0"/>
    <x v="0"/>
    <x v="0"/>
    <x v="0"/>
    <x v="0"/>
    <x v="0"/>
    <x v="0"/>
    <x v="0"/>
    <x v="0"/>
    <x v="0"/>
    <x v="0"/>
    <x v="0"/>
  </r>
  <r>
    <n v="28"/>
    <x v="27"/>
    <x v="0"/>
    <x v="0"/>
    <x v="0"/>
    <x v="0"/>
    <x v="0"/>
    <x v="0"/>
    <x v="0"/>
    <x v="0"/>
    <x v="0"/>
    <x v="0"/>
    <x v="0"/>
    <x v="0"/>
    <x v="0"/>
    <x v="0"/>
    <x v="0"/>
    <x v="0"/>
  </r>
  <r>
    <n v="29"/>
    <x v="28"/>
    <x v="0"/>
    <x v="0"/>
    <x v="0"/>
    <x v="0"/>
    <x v="0"/>
    <x v="0"/>
    <x v="0"/>
    <x v="0"/>
    <x v="0"/>
    <x v="0"/>
    <x v="0"/>
    <x v="0"/>
    <x v="0"/>
    <x v="0"/>
    <x v="0"/>
    <x v="0"/>
  </r>
  <r>
    <n v="30"/>
    <x v="29"/>
    <x v="0"/>
    <x v="0"/>
    <x v="0"/>
    <x v="0"/>
    <x v="0"/>
    <x v="0"/>
    <x v="0"/>
    <x v="0"/>
    <x v="0"/>
    <x v="0"/>
    <x v="0"/>
    <x v="0"/>
    <x v="0"/>
    <x v="0"/>
    <x v="0"/>
    <x v="0"/>
  </r>
  <r>
    <n v="31"/>
    <x v="30"/>
    <x v="0"/>
    <x v="0"/>
    <x v="0"/>
    <x v="0"/>
    <x v="0"/>
    <x v="0"/>
    <x v="0"/>
    <x v="0"/>
    <x v="0"/>
    <x v="0"/>
    <x v="0"/>
    <x v="0"/>
    <x v="0"/>
    <x v="0"/>
    <x v="0"/>
    <x v="0"/>
  </r>
  <r>
    <n v="1"/>
    <x v="0"/>
    <x v="0"/>
    <x v="0"/>
    <x v="0"/>
    <x v="0"/>
    <x v="0"/>
    <x v="0"/>
    <x v="0"/>
    <x v="0"/>
    <x v="1"/>
    <x v="1"/>
    <x v="1"/>
    <x v="1"/>
    <x v="0"/>
    <x v="1"/>
    <x v="1"/>
    <x v="1"/>
  </r>
  <r>
    <n v="2"/>
    <x v="1"/>
    <x v="0"/>
    <x v="0"/>
    <x v="0"/>
    <x v="0"/>
    <x v="0"/>
    <x v="0"/>
    <x v="0"/>
    <x v="0"/>
    <x v="1"/>
    <x v="1"/>
    <x v="1"/>
    <x v="1"/>
    <x v="0"/>
    <x v="1"/>
    <x v="1"/>
    <x v="1"/>
  </r>
  <r>
    <n v="3"/>
    <x v="2"/>
    <x v="0"/>
    <x v="0"/>
    <x v="0"/>
    <x v="0"/>
    <x v="0"/>
    <x v="0"/>
    <x v="0"/>
    <x v="0"/>
    <x v="1"/>
    <x v="1"/>
    <x v="1"/>
    <x v="1"/>
    <x v="0"/>
    <x v="1"/>
    <x v="1"/>
    <x v="1"/>
  </r>
  <r>
    <n v="4"/>
    <x v="3"/>
    <x v="0"/>
    <x v="0"/>
    <x v="0"/>
    <x v="0"/>
    <x v="0"/>
    <x v="0"/>
    <x v="0"/>
    <x v="0"/>
    <x v="1"/>
    <x v="1"/>
    <x v="1"/>
    <x v="1"/>
    <x v="0"/>
    <x v="1"/>
    <x v="1"/>
    <x v="1"/>
  </r>
  <r>
    <n v="5"/>
    <x v="4"/>
    <x v="0"/>
    <x v="0"/>
    <x v="0"/>
    <x v="0"/>
    <x v="0"/>
    <x v="0"/>
    <x v="0"/>
    <x v="0"/>
    <x v="1"/>
    <x v="1"/>
    <x v="1"/>
    <x v="1"/>
    <x v="0"/>
    <x v="1"/>
    <x v="1"/>
    <x v="1"/>
  </r>
  <r>
    <n v="6"/>
    <x v="5"/>
    <x v="0"/>
    <x v="0"/>
    <x v="0"/>
    <x v="0"/>
    <x v="0"/>
    <x v="0"/>
    <x v="0"/>
    <x v="0"/>
    <x v="1"/>
    <x v="1"/>
    <x v="1"/>
    <x v="1"/>
    <x v="0"/>
    <x v="1"/>
    <x v="1"/>
    <x v="1"/>
  </r>
  <r>
    <n v="7"/>
    <x v="6"/>
    <x v="0"/>
    <x v="0"/>
    <x v="0"/>
    <x v="0"/>
    <x v="0"/>
    <x v="0"/>
    <x v="0"/>
    <x v="0"/>
    <x v="1"/>
    <x v="0"/>
    <x v="0"/>
    <x v="0"/>
    <x v="0"/>
    <x v="2"/>
    <x v="2"/>
    <x v="1"/>
  </r>
  <r>
    <n v="8"/>
    <x v="7"/>
    <x v="0"/>
    <x v="0"/>
    <x v="0"/>
    <x v="0"/>
    <x v="0"/>
    <x v="0"/>
    <x v="0"/>
    <x v="0"/>
    <x v="1"/>
    <x v="1"/>
    <x v="1"/>
    <x v="1"/>
    <x v="0"/>
    <x v="1"/>
    <x v="1"/>
    <x v="1"/>
  </r>
  <r>
    <n v="9"/>
    <x v="8"/>
    <x v="0"/>
    <x v="0"/>
    <x v="0"/>
    <x v="0"/>
    <x v="0"/>
    <x v="0"/>
    <x v="0"/>
    <x v="0"/>
    <x v="1"/>
    <x v="1"/>
    <x v="1"/>
    <x v="1"/>
    <x v="0"/>
    <x v="1"/>
    <x v="1"/>
    <x v="1"/>
  </r>
  <r>
    <n v="10"/>
    <x v="9"/>
    <x v="0"/>
    <x v="0"/>
    <x v="0"/>
    <x v="0"/>
    <x v="0"/>
    <x v="0"/>
    <x v="0"/>
    <x v="0"/>
    <x v="1"/>
    <x v="1"/>
    <x v="1"/>
    <x v="1"/>
    <x v="0"/>
    <x v="1"/>
    <x v="1"/>
    <x v="1"/>
  </r>
  <r>
    <n v="11"/>
    <x v="10"/>
    <x v="0"/>
    <x v="0"/>
    <x v="0"/>
    <x v="0"/>
    <x v="0"/>
    <x v="0"/>
    <x v="0"/>
    <x v="0"/>
    <x v="1"/>
    <x v="1"/>
    <x v="1"/>
    <x v="1"/>
    <x v="0"/>
    <x v="1"/>
    <x v="1"/>
    <x v="1"/>
  </r>
  <r>
    <n v="12"/>
    <x v="11"/>
    <x v="0"/>
    <x v="0"/>
    <x v="0"/>
    <x v="0"/>
    <x v="0"/>
    <x v="0"/>
    <x v="0"/>
    <x v="0"/>
    <x v="1"/>
    <x v="1"/>
    <x v="1"/>
    <x v="1"/>
    <x v="0"/>
    <x v="1"/>
    <x v="1"/>
    <x v="1"/>
  </r>
  <r>
    <n v="13"/>
    <x v="12"/>
    <x v="0"/>
    <x v="0"/>
    <x v="0"/>
    <x v="0"/>
    <x v="0"/>
    <x v="0"/>
    <x v="0"/>
    <x v="0"/>
    <x v="1"/>
    <x v="0"/>
    <x v="0"/>
    <x v="0"/>
    <x v="0"/>
    <x v="2"/>
    <x v="2"/>
    <x v="1"/>
  </r>
  <r>
    <n v="14"/>
    <x v="13"/>
    <x v="0"/>
    <x v="0"/>
    <x v="0"/>
    <x v="0"/>
    <x v="0"/>
    <x v="0"/>
    <x v="0"/>
    <x v="0"/>
    <x v="1"/>
    <x v="1"/>
    <x v="1"/>
    <x v="1"/>
    <x v="0"/>
    <x v="1"/>
    <x v="1"/>
    <x v="1"/>
  </r>
  <r>
    <n v="15"/>
    <x v="14"/>
    <x v="0"/>
    <x v="0"/>
    <x v="0"/>
    <x v="0"/>
    <x v="0"/>
    <x v="0"/>
    <x v="0"/>
    <x v="0"/>
    <x v="1"/>
    <x v="1"/>
    <x v="1"/>
    <x v="1"/>
    <x v="0"/>
    <x v="1"/>
    <x v="1"/>
    <x v="1"/>
  </r>
  <r>
    <n v="16"/>
    <x v="15"/>
    <x v="0"/>
    <x v="0"/>
    <x v="0"/>
    <x v="0"/>
    <x v="0"/>
    <x v="0"/>
    <x v="0"/>
    <x v="0"/>
    <x v="1"/>
    <x v="1"/>
    <x v="1"/>
    <x v="1"/>
    <x v="0"/>
    <x v="1"/>
    <x v="1"/>
    <x v="1"/>
  </r>
  <r>
    <n v="17"/>
    <x v="16"/>
    <x v="0"/>
    <x v="0"/>
    <x v="0"/>
    <x v="0"/>
    <x v="0"/>
    <x v="0"/>
    <x v="0"/>
    <x v="0"/>
    <x v="1"/>
    <x v="1"/>
    <x v="1"/>
    <x v="1"/>
    <x v="0"/>
    <x v="1"/>
    <x v="1"/>
    <x v="1"/>
  </r>
  <r>
    <n v="18"/>
    <x v="17"/>
    <x v="0"/>
    <x v="0"/>
    <x v="0"/>
    <x v="0"/>
    <x v="0"/>
    <x v="0"/>
    <x v="0"/>
    <x v="0"/>
    <x v="1"/>
    <x v="1"/>
    <x v="1"/>
    <x v="1"/>
    <x v="0"/>
    <x v="1"/>
    <x v="1"/>
    <x v="1"/>
  </r>
  <r>
    <n v="19"/>
    <x v="18"/>
    <x v="0"/>
    <x v="0"/>
    <x v="0"/>
    <x v="0"/>
    <x v="0"/>
    <x v="0"/>
    <x v="0"/>
    <x v="0"/>
    <x v="1"/>
    <x v="1"/>
    <x v="1"/>
    <x v="1"/>
    <x v="0"/>
    <x v="1"/>
    <x v="1"/>
    <x v="1"/>
  </r>
  <r>
    <n v="20"/>
    <x v="19"/>
    <x v="0"/>
    <x v="0"/>
    <x v="0"/>
    <x v="0"/>
    <x v="0"/>
    <x v="0"/>
    <x v="0"/>
    <x v="0"/>
    <x v="1"/>
    <x v="1"/>
    <x v="1"/>
    <x v="1"/>
    <x v="0"/>
    <x v="1"/>
    <x v="1"/>
    <x v="1"/>
  </r>
  <r>
    <n v="21"/>
    <x v="20"/>
    <x v="0"/>
    <x v="0"/>
    <x v="0"/>
    <x v="0"/>
    <x v="0"/>
    <x v="0"/>
    <x v="0"/>
    <x v="0"/>
    <x v="1"/>
    <x v="1"/>
    <x v="1"/>
    <x v="1"/>
    <x v="0"/>
    <x v="1"/>
    <x v="1"/>
    <x v="1"/>
  </r>
  <r>
    <n v="22"/>
    <x v="21"/>
    <x v="0"/>
    <x v="0"/>
    <x v="0"/>
    <x v="0"/>
    <x v="0"/>
    <x v="0"/>
    <x v="0"/>
    <x v="0"/>
    <x v="1"/>
    <x v="1"/>
    <x v="1"/>
    <x v="1"/>
    <x v="0"/>
    <x v="1"/>
    <x v="1"/>
    <x v="1"/>
  </r>
  <r>
    <n v="23"/>
    <x v="22"/>
    <x v="0"/>
    <x v="0"/>
    <x v="0"/>
    <x v="0"/>
    <x v="0"/>
    <x v="0"/>
    <x v="0"/>
    <x v="0"/>
    <x v="1"/>
    <x v="1"/>
    <x v="1"/>
    <x v="1"/>
    <x v="0"/>
    <x v="1"/>
    <x v="1"/>
    <x v="1"/>
  </r>
  <r>
    <n v="24"/>
    <x v="23"/>
    <x v="0"/>
    <x v="0"/>
    <x v="0"/>
    <x v="0"/>
    <x v="0"/>
    <x v="0"/>
    <x v="0"/>
    <x v="0"/>
    <x v="1"/>
    <x v="1"/>
    <x v="1"/>
    <x v="1"/>
    <x v="0"/>
    <x v="1"/>
    <x v="1"/>
    <x v="1"/>
  </r>
  <r>
    <n v="25"/>
    <x v="24"/>
    <x v="0"/>
    <x v="0"/>
    <x v="0"/>
    <x v="0"/>
    <x v="0"/>
    <x v="0"/>
    <x v="0"/>
    <x v="0"/>
    <x v="1"/>
    <x v="1"/>
    <x v="1"/>
    <x v="1"/>
    <x v="0"/>
    <x v="1"/>
    <x v="1"/>
    <x v="1"/>
  </r>
  <r>
    <n v="26"/>
    <x v="25"/>
    <x v="0"/>
    <x v="0"/>
    <x v="0"/>
    <x v="0"/>
    <x v="0"/>
    <x v="0"/>
    <x v="0"/>
    <x v="0"/>
    <x v="1"/>
    <x v="1"/>
    <x v="1"/>
    <x v="1"/>
    <x v="0"/>
    <x v="1"/>
    <x v="1"/>
    <x v="1"/>
  </r>
  <r>
    <n v="27"/>
    <x v="26"/>
    <x v="0"/>
    <x v="0"/>
    <x v="0"/>
    <x v="0"/>
    <x v="0"/>
    <x v="0"/>
    <x v="0"/>
    <x v="0"/>
    <x v="1"/>
    <x v="1"/>
    <x v="1"/>
    <x v="1"/>
    <x v="0"/>
    <x v="1"/>
    <x v="1"/>
    <x v="1"/>
  </r>
  <r>
    <n v="28"/>
    <x v="27"/>
    <x v="0"/>
    <x v="0"/>
    <x v="0"/>
    <x v="0"/>
    <x v="0"/>
    <x v="0"/>
    <x v="0"/>
    <x v="0"/>
    <x v="1"/>
    <x v="1"/>
    <x v="1"/>
    <x v="1"/>
    <x v="0"/>
    <x v="1"/>
    <x v="1"/>
    <x v="1"/>
  </r>
  <r>
    <n v="29"/>
    <x v="28"/>
    <x v="0"/>
    <x v="0"/>
    <x v="0"/>
    <x v="0"/>
    <x v="0"/>
    <x v="0"/>
    <x v="0"/>
    <x v="0"/>
    <x v="1"/>
    <x v="1"/>
    <x v="1"/>
    <x v="1"/>
    <x v="0"/>
    <x v="1"/>
    <x v="1"/>
    <x v="1"/>
  </r>
  <r>
    <n v="30"/>
    <x v="29"/>
    <x v="0"/>
    <x v="0"/>
    <x v="0"/>
    <x v="0"/>
    <x v="0"/>
    <x v="0"/>
    <x v="0"/>
    <x v="0"/>
    <x v="1"/>
    <x v="1"/>
    <x v="1"/>
    <x v="1"/>
    <x v="0"/>
    <x v="1"/>
    <x v="1"/>
    <x v="1"/>
  </r>
  <r>
    <n v="31"/>
    <x v="30"/>
    <x v="0"/>
    <x v="0"/>
    <x v="0"/>
    <x v="0"/>
    <x v="0"/>
    <x v="0"/>
    <x v="0"/>
    <x v="0"/>
    <x v="1"/>
    <x v="1"/>
    <x v="1"/>
    <x v="1"/>
    <x v="0"/>
    <x v="1"/>
    <x v="1"/>
    <x v="1"/>
  </r>
  <r>
    <n v="32"/>
    <x v="31"/>
    <x v="0"/>
    <x v="0"/>
    <x v="0"/>
    <x v="0"/>
    <x v="0"/>
    <x v="0"/>
    <x v="0"/>
    <x v="0"/>
    <x v="0"/>
    <x v="0"/>
    <x v="0"/>
    <x v="0"/>
    <x v="1"/>
    <x v="0"/>
    <x v="1"/>
    <x v="1"/>
  </r>
  <r>
    <n v="1"/>
    <x v="0"/>
    <x v="1"/>
    <x v="1"/>
    <x v="1"/>
    <x v="1"/>
    <x v="0"/>
    <x v="0"/>
    <x v="0"/>
    <x v="0"/>
    <x v="0"/>
    <x v="0"/>
    <x v="0"/>
    <x v="0"/>
    <x v="0"/>
    <x v="1"/>
    <x v="1"/>
    <x v="2"/>
  </r>
  <r>
    <n v="2"/>
    <x v="1"/>
    <x v="1"/>
    <x v="1"/>
    <x v="1"/>
    <x v="1"/>
    <x v="1"/>
    <x v="1"/>
    <x v="0"/>
    <x v="0"/>
    <x v="0"/>
    <x v="0"/>
    <x v="0"/>
    <x v="0"/>
    <x v="0"/>
    <x v="3"/>
    <x v="3"/>
    <x v="2"/>
  </r>
  <r>
    <n v="3"/>
    <x v="2"/>
    <x v="1"/>
    <x v="1"/>
    <x v="1"/>
    <x v="1"/>
    <x v="0"/>
    <x v="0"/>
    <x v="0"/>
    <x v="0"/>
    <x v="0"/>
    <x v="0"/>
    <x v="0"/>
    <x v="0"/>
    <x v="0"/>
    <x v="1"/>
    <x v="1"/>
    <x v="2"/>
  </r>
  <r>
    <n v="4"/>
    <x v="3"/>
    <x v="1"/>
    <x v="1"/>
    <x v="1"/>
    <x v="1"/>
    <x v="0"/>
    <x v="0"/>
    <x v="0"/>
    <x v="0"/>
    <x v="0"/>
    <x v="0"/>
    <x v="0"/>
    <x v="0"/>
    <x v="0"/>
    <x v="1"/>
    <x v="1"/>
    <x v="2"/>
  </r>
  <r>
    <n v="5"/>
    <x v="4"/>
    <x v="1"/>
    <x v="1"/>
    <x v="0"/>
    <x v="0"/>
    <x v="0"/>
    <x v="0"/>
    <x v="0"/>
    <x v="0"/>
    <x v="0"/>
    <x v="0"/>
    <x v="0"/>
    <x v="0"/>
    <x v="0"/>
    <x v="4"/>
    <x v="4"/>
    <x v="2"/>
  </r>
  <r>
    <n v="6"/>
    <x v="5"/>
    <x v="0"/>
    <x v="0"/>
    <x v="0"/>
    <x v="0"/>
    <x v="0"/>
    <x v="0"/>
    <x v="0"/>
    <x v="0"/>
    <x v="0"/>
    <x v="0"/>
    <x v="0"/>
    <x v="0"/>
    <x v="0"/>
    <x v="0"/>
    <x v="0"/>
    <x v="2"/>
  </r>
  <r>
    <n v="7"/>
    <x v="6"/>
    <x v="0"/>
    <x v="0"/>
    <x v="0"/>
    <x v="0"/>
    <x v="0"/>
    <x v="0"/>
    <x v="0"/>
    <x v="0"/>
    <x v="0"/>
    <x v="0"/>
    <x v="0"/>
    <x v="0"/>
    <x v="0"/>
    <x v="0"/>
    <x v="0"/>
    <x v="2"/>
  </r>
  <r>
    <n v="8"/>
    <x v="7"/>
    <x v="1"/>
    <x v="1"/>
    <x v="1"/>
    <x v="1"/>
    <x v="0"/>
    <x v="0"/>
    <x v="0"/>
    <x v="0"/>
    <x v="0"/>
    <x v="0"/>
    <x v="0"/>
    <x v="0"/>
    <x v="0"/>
    <x v="1"/>
    <x v="1"/>
    <x v="2"/>
  </r>
  <r>
    <n v="9"/>
    <x v="8"/>
    <x v="1"/>
    <x v="1"/>
    <x v="1"/>
    <x v="1"/>
    <x v="0"/>
    <x v="0"/>
    <x v="0"/>
    <x v="0"/>
    <x v="0"/>
    <x v="0"/>
    <x v="0"/>
    <x v="0"/>
    <x v="0"/>
    <x v="1"/>
    <x v="1"/>
    <x v="2"/>
  </r>
  <r>
    <n v="10"/>
    <x v="9"/>
    <x v="1"/>
    <x v="0"/>
    <x v="0"/>
    <x v="0"/>
    <x v="0"/>
    <x v="0"/>
    <x v="0"/>
    <x v="0"/>
    <x v="0"/>
    <x v="0"/>
    <x v="0"/>
    <x v="0"/>
    <x v="0"/>
    <x v="2"/>
    <x v="2"/>
    <x v="2"/>
  </r>
  <r>
    <n v="11"/>
    <x v="10"/>
    <x v="1"/>
    <x v="1"/>
    <x v="1"/>
    <x v="0"/>
    <x v="0"/>
    <x v="0"/>
    <x v="0"/>
    <x v="0"/>
    <x v="0"/>
    <x v="0"/>
    <x v="0"/>
    <x v="0"/>
    <x v="0"/>
    <x v="5"/>
    <x v="5"/>
    <x v="2"/>
  </r>
  <r>
    <n v="12"/>
    <x v="11"/>
    <x v="1"/>
    <x v="1"/>
    <x v="1"/>
    <x v="1"/>
    <x v="1"/>
    <x v="1"/>
    <x v="0"/>
    <x v="0"/>
    <x v="0"/>
    <x v="0"/>
    <x v="0"/>
    <x v="0"/>
    <x v="0"/>
    <x v="3"/>
    <x v="3"/>
    <x v="2"/>
  </r>
  <r>
    <n v="13"/>
    <x v="12"/>
    <x v="0"/>
    <x v="0"/>
    <x v="0"/>
    <x v="0"/>
    <x v="0"/>
    <x v="0"/>
    <x v="0"/>
    <x v="0"/>
    <x v="0"/>
    <x v="0"/>
    <x v="0"/>
    <x v="0"/>
    <x v="0"/>
    <x v="0"/>
    <x v="0"/>
    <x v="2"/>
  </r>
  <r>
    <n v="14"/>
    <x v="13"/>
    <x v="1"/>
    <x v="1"/>
    <x v="1"/>
    <x v="1"/>
    <x v="0"/>
    <x v="0"/>
    <x v="0"/>
    <x v="0"/>
    <x v="0"/>
    <x v="0"/>
    <x v="0"/>
    <x v="0"/>
    <x v="0"/>
    <x v="1"/>
    <x v="1"/>
    <x v="2"/>
  </r>
  <r>
    <n v="15"/>
    <x v="14"/>
    <x v="1"/>
    <x v="1"/>
    <x v="1"/>
    <x v="0"/>
    <x v="0"/>
    <x v="0"/>
    <x v="0"/>
    <x v="0"/>
    <x v="0"/>
    <x v="0"/>
    <x v="0"/>
    <x v="0"/>
    <x v="0"/>
    <x v="5"/>
    <x v="5"/>
    <x v="2"/>
  </r>
  <r>
    <n v="16"/>
    <x v="15"/>
    <x v="1"/>
    <x v="1"/>
    <x v="1"/>
    <x v="1"/>
    <x v="1"/>
    <x v="1"/>
    <x v="1"/>
    <x v="1"/>
    <x v="1"/>
    <x v="1"/>
    <x v="1"/>
    <x v="1"/>
    <x v="0"/>
    <x v="6"/>
    <x v="6"/>
    <x v="2"/>
  </r>
  <r>
    <n v="17"/>
    <x v="16"/>
    <x v="0"/>
    <x v="0"/>
    <x v="0"/>
    <x v="0"/>
    <x v="0"/>
    <x v="0"/>
    <x v="0"/>
    <x v="0"/>
    <x v="0"/>
    <x v="0"/>
    <x v="0"/>
    <x v="0"/>
    <x v="0"/>
    <x v="0"/>
    <x v="0"/>
    <x v="2"/>
  </r>
  <r>
    <n v="18"/>
    <x v="17"/>
    <x v="1"/>
    <x v="1"/>
    <x v="1"/>
    <x v="1"/>
    <x v="0"/>
    <x v="0"/>
    <x v="0"/>
    <x v="0"/>
    <x v="0"/>
    <x v="0"/>
    <x v="0"/>
    <x v="0"/>
    <x v="0"/>
    <x v="1"/>
    <x v="1"/>
    <x v="2"/>
  </r>
  <r>
    <n v="19"/>
    <x v="18"/>
    <x v="1"/>
    <x v="1"/>
    <x v="1"/>
    <x v="1"/>
    <x v="1"/>
    <x v="0"/>
    <x v="0"/>
    <x v="0"/>
    <x v="0"/>
    <x v="0"/>
    <x v="0"/>
    <x v="0"/>
    <x v="0"/>
    <x v="7"/>
    <x v="7"/>
    <x v="2"/>
  </r>
  <r>
    <n v="20"/>
    <x v="19"/>
    <x v="1"/>
    <x v="1"/>
    <x v="1"/>
    <x v="1"/>
    <x v="0"/>
    <x v="0"/>
    <x v="0"/>
    <x v="0"/>
    <x v="0"/>
    <x v="0"/>
    <x v="0"/>
    <x v="0"/>
    <x v="0"/>
    <x v="1"/>
    <x v="1"/>
    <x v="2"/>
  </r>
  <r>
    <n v="21"/>
    <x v="20"/>
    <x v="1"/>
    <x v="1"/>
    <x v="1"/>
    <x v="1"/>
    <x v="0"/>
    <x v="0"/>
    <x v="0"/>
    <x v="0"/>
    <x v="0"/>
    <x v="0"/>
    <x v="0"/>
    <x v="0"/>
    <x v="0"/>
    <x v="1"/>
    <x v="1"/>
    <x v="2"/>
  </r>
  <r>
    <n v="22"/>
    <x v="21"/>
    <x v="1"/>
    <x v="1"/>
    <x v="1"/>
    <x v="1"/>
    <x v="1"/>
    <x v="1"/>
    <x v="1"/>
    <x v="1"/>
    <x v="1"/>
    <x v="1"/>
    <x v="1"/>
    <x v="1"/>
    <x v="0"/>
    <x v="6"/>
    <x v="6"/>
    <x v="2"/>
  </r>
  <r>
    <n v="23"/>
    <x v="22"/>
    <x v="0"/>
    <x v="0"/>
    <x v="0"/>
    <x v="0"/>
    <x v="0"/>
    <x v="0"/>
    <x v="0"/>
    <x v="0"/>
    <x v="0"/>
    <x v="0"/>
    <x v="0"/>
    <x v="0"/>
    <x v="0"/>
    <x v="0"/>
    <x v="0"/>
    <x v="2"/>
  </r>
  <r>
    <n v="24"/>
    <x v="23"/>
    <x v="1"/>
    <x v="1"/>
    <x v="1"/>
    <x v="1"/>
    <x v="0"/>
    <x v="0"/>
    <x v="0"/>
    <x v="0"/>
    <x v="0"/>
    <x v="0"/>
    <x v="0"/>
    <x v="0"/>
    <x v="0"/>
    <x v="1"/>
    <x v="1"/>
    <x v="2"/>
  </r>
  <r>
    <n v="25"/>
    <x v="24"/>
    <x v="1"/>
    <x v="1"/>
    <x v="1"/>
    <x v="1"/>
    <x v="0"/>
    <x v="0"/>
    <x v="0"/>
    <x v="0"/>
    <x v="0"/>
    <x v="0"/>
    <x v="0"/>
    <x v="0"/>
    <x v="0"/>
    <x v="1"/>
    <x v="1"/>
    <x v="2"/>
  </r>
  <r>
    <n v="26"/>
    <x v="25"/>
    <x v="0"/>
    <x v="0"/>
    <x v="0"/>
    <x v="0"/>
    <x v="0"/>
    <x v="0"/>
    <x v="0"/>
    <x v="0"/>
    <x v="0"/>
    <x v="0"/>
    <x v="0"/>
    <x v="0"/>
    <x v="0"/>
    <x v="0"/>
    <x v="0"/>
    <x v="2"/>
  </r>
  <r>
    <n v="27"/>
    <x v="26"/>
    <x v="1"/>
    <x v="1"/>
    <x v="1"/>
    <x v="0"/>
    <x v="0"/>
    <x v="0"/>
    <x v="0"/>
    <x v="0"/>
    <x v="0"/>
    <x v="0"/>
    <x v="0"/>
    <x v="0"/>
    <x v="0"/>
    <x v="5"/>
    <x v="5"/>
    <x v="2"/>
  </r>
  <r>
    <n v="28"/>
    <x v="27"/>
    <x v="0"/>
    <x v="0"/>
    <x v="0"/>
    <x v="0"/>
    <x v="0"/>
    <x v="0"/>
    <x v="0"/>
    <x v="0"/>
    <x v="0"/>
    <x v="0"/>
    <x v="0"/>
    <x v="0"/>
    <x v="0"/>
    <x v="0"/>
    <x v="0"/>
    <x v="2"/>
  </r>
  <r>
    <n v="29"/>
    <x v="28"/>
    <x v="1"/>
    <x v="1"/>
    <x v="1"/>
    <x v="1"/>
    <x v="1"/>
    <x v="1"/>
    <x v="1"/>
    <x v="1"/>
    <x v="0"/>
    <x v="0"/>
    <x v="0"/>
    <x v="0"/>
    <x v="0"/>
    <x v="8"/>
    <x v="8"/>
    <x v="2"/>
  </r>
  <r>
    <n v="30"/>
    <x v="29"/>
    <x v="1"/>
    <x v="1"/>
    <x v="1"/>
    <x v="1"/>
    <x v="1"/>
    <x v="1"/>
    <x v="1"/>
    <x v="1"/>
    <x v="0"/>
    <x v="0"/>
    <x v="0"/>
    <x v="0"/>
    <x v="0"/>
    <x v="8"/>
    <x v="8"/>
    <x v="2"/>
  </r>
  <r>
    <n v="31"/>
    <x v="30"/>
    <x v="1"/>
    <x v="1"/>
    <x v="1"/>
    <x v="1"/>
    <x v="1"/>
    <x v="1"/>
    <x v="1"/>
    <x v="1"/>
    <x v="1"/>
    <x v="1"/>
    <x v="1"/>
    <x v="1"/>
    <x v="0"/>
    <x v="6"/>
    <x v="6"/>
    <x v="2"/>
  </r>
  <r>
    <n v="1"/>
    <x v="0"/>
    <x v="0"/>
    <x v="0"/>
    <x v="0"/>
    <x v="0"/>
    <x v="0"/>
    <x v="0"/>
    <x v="0"/>
    <x v="0"/>
    <x v="0"/>
    <x v="0"/>
    <x v="0"/>
    <x v="0"/>
    <x v="0"/>
    <x v="0"/>
    <x v="0"/>
    <x v="3"/>
  </r>
  <r>
    <n v="2"/>
    <x v="1"/>
    <x v="0"/>
    <x v="0"/>
    <x v="0"/>
    <x v="0"/>
    <x v="0"/>
    <x v="0"/>
    <x v="0"/>
    <x v="0"/>
    <x v="0"/>
    <x v="0"/>
    <x v="0"/>
    <x v="0"/>
    <x v="0"/>
    <x v="0"/>
    <x v="0"/>
    <x v="3"/>
  </r>
  <r>
    <n v="3"/>
    <x v="2"/>
    <x v="0"/>
    <x v="0"/>
    <x v="0"/>
    <x v="0"/>
    <x v="0"/>
    <x v="0"/>
    <x v="0"/>
    <x v="0"/>
    <x v="0"/>
    <x v="0"/>
    <x v="0"/>
    <x v="0"/>
    <x v="0"/>
    <x v="0"/>
    <x v="0"/>
    <x v="3"/>
  </r>
  <r>
    <n v="4"/>
    <x v="3"/>
    <x v="0"/>
    <x v="0"/>
    <x v="0"/>
    <x v="0"/>
    <x v="0"/>
    <x v="0"/>
    <x v="0"/>
    <x v="0"/>
    <x v="0"/>
    <x v="0"/>
    <x v="0"/>
    <x v="0"/>
    <x v="0"/>
    <x v="0"/>
    <x v="0"/>
    <x v="3"/>
  </r>
  <r>
    <n v="5"/>
    <x v="4"/>
    <x v="0"/>
    <x v="0"/>
    <x v="0"/>
    <x v="0"/>
    <x v="0"/>
    <x v="0"/>
    <x v="0"/>
    <x v="0"/>
    <x v="0"/>
    <x v="0"/>
    <x v="0"/>
    <x v="0"/>
    <x v="0"/>
    <x v="0"/>
    <x v="0"/>
    <x v="3"/>
  </r>
  <r>
    <n v="6"/>
    <x v="5"/>
    <x v="0"/>
    <x v="0"/>
    <x v="0"/>
    <x v="0"/>
    <x v="0"/>
    <x v="0"/>
    <x v="0"/>
    <x v="0"/>
    <x v="0"/>
    <x v="0"/>
    <x v="0"/>
    <x v="0"/>
    <x v="0"/>
    <x v="0"/>
    <x v="0"/>
    <x v="3"/>
  </r>
  <r>
    <n v="7"/>
    <x v="6"/>
    <x v="0"/>
    <x v="0"/>
    <x v="0"/>
    <x v="0"/>
    <x v="0"/>
    <x v="0"/>
    <x v="0"/>
    <x v="0"/>
    <x v="0"/>
    <x v="0"/>
    <x v="0"/>
    <x v="0"/>
    <x v="0"/>
    <x v="0"/>
    <x v="0"/>
    <x v="3"/>
  </r>
  <r>
    <n v="8"/>
    <x v="7"/>
    <x v="0"/>
    <x v="0"/>
    <x v="0"/>
    <x v="0"/>
    <x v="0"/>
    <x v="0"/>
    <x v="0"/>
    <x v="0"/>
    <x v="0"/>
    <x v="0"/>
    <x v="0"/>
    <x v="0"/>
    <x v="0"/>
    <x v="0"/>
    <x v="0"/>
    <x v="3"/>
  </r>
  <r>
    <n v="9"/>
    <x v="8"/>
    <x v="0"/>
    <x v="0"/>
    <x v="0"/>
    <x v="0"/>
    <x v="0"/>
    <x v="0"/>
    <x v="0"/>
    <x v="0"/>
    <x v="0"/>
    <x v="0"/>
    <x v="0"/>
    <x v="0"/>
    <x v="0"/>
    <x v="0"/>
    <x v="0"/>
    <x v="3"/>
  </r>
  <r>
    <n v="10"/>
    <x v="9"/>
    <x v="0"/>
    <x v="0"/>
    <x v="0"/>
    <x v="0"/>
    <x v="0"/>
    <x v="0"/>
    <x v="0"/>
    <x v="0"/>
    <x v="0"/>
    <x v="0"/>
    <x v="0"/>
    <x v="0"/>
    <x v="0"/>
    <x v="0"/>
    <x v="0"/>
    <x v="3"/>
  </r>
  <r>
    <n v="11"/>
    <x v="10"/>
    <x v="0"/>
    <x v="0"/>
    <x v="0"/>
    <x v="0"/>
    <x v="0"/>
    <x v="0"/>
    <x v="0"/>
    <x v="0"/>
    <x v="0"/>
    <x v="0"/>
    <x v="0"/>
    <x v="0"/>
    <x v="0"/>
    <x v="0"/>
    <x v="0"/>
    <x v="3"/>
  </r>
  <r>
    <n v="12"/>
    <x v="11"/>
    <x v="0"/>
    <x v="0"/>
    <x v="0"/>
    <x v="0"/>
    <x v="0"/>
    <x v="0"/>
    <x v="0"/>
    <x v="0"/>
    <x v="0"/>
    <x v="0"/>
    <x v="0"/>
    <x v="0"/>
    <x v="0"/>
    <x v="0"/>
    <x v="0"/>
    <x v="3"/>
  </r>
  <r>
    <n v="13"/>
    <x v="12"/>
    <x v="0"/>
    <x v="0"/>
    <x v="0"/>
    <x v="0"/>
    <x v="0"/>
    <x v="0"/>
    <x v="0"/>
    <x v="0"/>
    <x v="0"/>
    <x v="0"/>
    <x v="0"/>
    <x v="0"/>
    <x v="0"/>
    <x v="0"/>
    <x v="0"/>
    <x v="3"/>
  </r>
  <r>
    <n v="14"/>
    <x v="13"/>
    <x v="0"/>
    <x v="0"/>
    <x v="0"/>
    <x v="0"/>
    <x v="0"/>
    <x v="0"/>
    <x v="0"/>
    <x v="0"/>
    <x v="0"/>
    <x v="0"/>
    <x v="0"/>
    <x v="0"/>
    <x v="0"/>
    <x v="0"/>
    <x v="0"/>
    <x v="3"/>
  </r>
  <r>
    <n v="15"/>
    <x v="14"/>
    <x v="0"/>
    <x v="0"/>
    <x v="0"/>
    <x v="0"/>
    <x v="0"/>
    <x v="0"/>
    <x v="0"/>
    <x v="0"/>
    <x v="0"/>
    <x v="0"/>
    <x v="0"/>
    <x v="0"/>
    <x v="0"/>
    <x v="0"/>
    <x v="0"/>
    <x v="3"/>
  </r>
  <r>
    <n v="16"/>
    <x v="15"/>
    <x v="0"/>
    <x v="0"/>
    <x v="0"/>
    <x v="0"/>
    <x v="0"/>
    <x v="0"/>
    <x v="0"/>
    <x v="0"/>
    <x v="0"/>
    <x v="0"/>
    <x v="0"/>
    <x v="0"/>
    <x v="0"/>
    <x v="0"/>
    <x v="0"/>
    <x v="3"/>
  </r>
  <r>
    <n v="17"/>
    <x v="16"/>
    <x v="0"/>
    <x v="0"/>
    <x v="0"/>
    <x v="0"/>
    <x v="0"/>
    <x v="0"/>
    <x v="0"/>
    <x v="0"/>
    <x v="0"/>
    <x v="0"/>
    <x v="0"/>
    <x v="0"/>
    <x v="0"/>
    <x v="0"/>
    <x v="0"/>
    <x v="3"/>
  </r>
  <r>
    <n v="18"/>
    <x v="17"/>
    <x v="0"/>
    <x v="0"/>
    <x v="0"/>
    <x v="0"/>
    <x v="0"/>
    <x v="0"/>
    <x v="0"/>
    <x v="0"/>
    <x v="0"/>
    <x v="0"/>
    <x v="0"/>
    <x v="0"/>
    <x v="0"/>
    <x v="0"/>
    <x v="0"/>
    <x v="3"/>
  </r>
  <r>
    <n v="19"/>
    <x v="18"/>
    <x v="0"/>
    <x v="0"/>
    <x v="0"/>
    <x v="0"/>
    <x v="0"/>
    <x v="0"/>
    <x v="0"/>
    <x v="0"/>
    <x v="0"/>
    <x v="0"/>
    <x v="0"/>
    <x v="0"/>
    <x v="0"/>
    <x v="0"/>
    <x v="0"/>
    <x v="3"/>
  </r>
  <r>
    <n v="20"/>
    <x v="19"/>
    <x v="0"/>
    <x v="0"/>
    <x v="0"/>
    <x v="0"/>
    <x v="0"/>
    <x v="0"/>
    <x v="0"/>
    <x v="0"/>
    <x v="0"/>
    <x v="0"/>
    <x v="0"/>
    <x v="0"/>
    <x v="0"/>
    <x v="0"/>
    <x v="0"/>
    <x v="3"/>
  </r>
  <r>
    <n v="21"/>
    <x v="20"/>
    <x v="0"/>
    <x v="0"/>
    <x v="0"/>
    <x v="0"/>
    <x v="0"/>
    <x v="0"/>
    <x v="0"/>
    <x v="0"/>
    <x v="0"/>
    <x v="0"/>
    <x v="0"/>
    <x v="0"/>
    <x v="0"/>
    <x v="0"/>
    <x v="0"/>
    <x v="3"/>
  </r>
  <r>
    <n v="22"/>
    <x v="21"/>
    <x v="0"/>
    <x v="0"/>
    <x v="0"/>
    <x v="0"/>
    <x v="0"/>
    <x v="0"/>
    <x v="0"/>
    <x v="0"/>
    <x v="0"/>
    <x v="0"/>
    <x v="0"/>
    <x v="0"/>
    <x v="0"/>
    <x v="0"/>
    <x v="0"/>
    <x v="3"/>
  </r>
  <r>
    <n v="23"/>
    <x v="22"/>
    <x v="0"/>
    <x v="0"/>
    <x v="0"/>
    <x v="0"/>
    <x v="0"/>
    <x v="0"/>
    <x v="0"/>
    <x v="0"/>
    <x v="0"/>
    <x v="0"/>
    <x v="0"/>
    <x v="0"/>
    <x v="0"/>
    <x v="0"/>
    <x v="0"/>
    <x v="3"/>
  </r>
  <r>
    <n v="24"/>
    <x v="23"/>
    <x v="0"/>
    <x v="0"/>
    <x v="0"/>
    <x v="0"/>
    <x v="0"/>
    <x v="0"/>
    <x v="0"/>
    <x v="0"/>
    <x v="0"/>
    <x v="0"/>
    <x v="0"/>
    <x v="0"/>
    <x v="0"/>
    <x v="0"/>
    <x v="0"/>
    <x v="3"/>
  </r>
  <r>
    <n v="25"/>
    <x v="24"/>
    <x v="0"/>
    <x v="0"/>
    <x v="0"/>
    <x v="0"/>
    <x v="0"/>
    <x v="0"/>
    <x v="0"/>
    <x v="0"/>
    <x v="0"/>
    <x v="0"/>
    <x v="0"/>
    <x v="0"/>
    <x v="0"/>
    <x v="0"/>
    <x v="0"/>
    <x v="3"/>
  </r>
  <r>
    <n v="26"/>
    <x v="25"/>
    <x v="0"/>
    <x v="0"/>
    <x v="0"/>
    <x v="0"/>
    <x v="0"/>
    <x v="0"/>
    <x v="0"/>
    <x v="0"/>
    <x v="0"/>
    <x v="0"/>
    <x v="0"/>
    <x v="0"/>
    <x v="0"/>
    <x v="0"/>
    <x v="0"/>
    <x v="3"/>
  </r>
  <r>
    <n v="27"/>
    <x v="26"/>
    <x v="0"/>
    <x v="0"/>
    <x v="0"/>
    <x v="0"/>
    <x v="0"/>
    <x v="0"/>
    <x v="0"/>
    <x v="0"/>
    <x v="0"/>
    <x v="0"/>
    <x v="0"/>
    <x v="0"/>
    <x v="0"/>
    <x v="0"/>
    <x v="0"/>
    <x v="3"/>
  </r>
  <r>
    <n v="28"/>
    <x v="27"/>
    <x v="0"/>
    <x v="0"/>
    <x v="0"/>
    <x v="0"/>
    <x v="0"/>
    <x v="0"/>
    <x v="0"/>
    <x v="0"/>
    <x v="0"/>
    <x v="0"/>
    <x v="0"/>
    <x v="0"/>
    <x v="0"/>
    <x v="0"/>
    <x v="0"/>
    <x v="3"/>
  </r>
  <r>
    <n v="29"/>
    <x v="28"/>
    <x v="0"/>
    <x v="0"/>
    <x v="0"/>
    <x v="0"/>
    <x v="0"/>
    <x v="0"/>
    <x v="0"/>
    <x v="0"/>
    <x v="0"/>
    <x v="0"/>
    <x v="0"/>
    <x v="0"/>
    <x v="0"/>
    <x v="0"/>
    <x v="0"/>
    <x v="3"/>
  </r>
  <r>
    <n v="30"/>
    <x v="29"/>
    <x v="0"/>
    <x v="0"/>
    <x v="0"/>
    <x v="0"/>
    <x v="0"/>
    <x v="0"/>
    <x v="0"/>
    <x v="0"/>
    <x v="0"/>
    <x v="0"/>
    <x v="0"/>
    <x v="0"/>
    <x v="0"/>
    <x v="0"/>
    <x v="0"/>
    <x v="3"/>
  </r>
  <r>
    <n v="31"/>
    <x v="30"/>
    <x v="0"/>
    <x v="0"/>
    <x v="0"/>
    <x v="0"/>
    <x v="0"/>
    <x v="0"/>
    <x v="0"/>
    <x v="0"/>
    <x v="0"/>
    <x v="0"/>
    <x v="0"/>
    <x v="0"/>
    <x v="0"/>
    <x v="0"/>
    <x v="0"/>
    <x v="3"/>
  </r>
  <r>
    <n v="1"/>
    <x v="0"/>
    <x v="0"/>
    <x v="0"/>
    <x v="0"/>
    <x v="0"/>
    <x v="0"/>
    <x v="0"/>
    <x v="0"/>
    <x v="0"/>
    <x v="0"/>
    <x v="0"/>
    <x v="0"/>
    <x v="0"/>
    <x v="0"/>
    <x v="0"/>
    <x v="0"/>
    <x v="4"/>
  </r>
  <r>
    <n v="2"/>
    <x v="1"/>
    <x v="0"/>
    <x v="0"/>
    <x v="0"/>
    <x v="0"/>
    <x v="0"/>
    <x v="0"/>
    <x v="0"/>
    <x v="0"/>
    <x v="0"/>
    <x v="0"/>
    <x v="0"/>
    <x v="0"/>
    <x v="0"/>
    <x v="0"/>
    <x v="0"/>
    <x v="4"/>
  </r>
  <r>
    <n v="3"/>
    <x v="2"/>
    <x v="0"/>
    <x v="0"/>
    <x v="0"/>
    <x v="0"/>
    <x v="0"/>
    <x v="0"/>
    <x v="0"/>
    <x v="0"/>
    <x v="0"/>
    <x v="0"/>
    <x v="0"/>
    <x v="0"/>
    <x v="0"/>
    <x v="0"/>
    <x v="0"/>
    <x v="4"/>
  </r>
  <r>
    <n v="4"/>
    <x v="3"/>
    <x v="0"/>
    <x v="0"/>
    <x v="0"/>
    <x v="0"/>
    <x v="0"/>
    <x v="0"/>
    <x v="0"/>
    <x v="0"/>
    <x v="0"/>
    <x v="0"/>
    <x v="0"/>
    <x v="0"/>
    <x v="0"/>
    <x v="0"/>
    <x v="0"/>
    <x v="4"/>
  </r>
  <r>
    <n v="5"/>
    <x v="4"/>
    <x v="0"/>
    <x v="0"/>
    <x v="0"/>
    <x v="0"/>
    <x v="0"/>
    <x v="0"/>
    <x v="0"/>
    <x v="0"/>
    <x v="0"/>
    <x v="0"/>
    <x v="0"/>
    <x v="0"/>
    <x v="0"/>
    <x v="0"/>
    <x v="0"/>
    <x v="4"/>
  </r>
  <r>
    <n v="6"/>
    <x v="5"/>
    <x v="0"/>
    <x v="0"/>
    <x v="0"/>
    <x v="0"/>
    <x v="0"/>
    <x v="0"/>
    <x v="0"/>
    <x v="0"/>
    <x v="0"/>
    <x v="0"/>
    <x v="0"/>
    <x v="0"/>
    <x v="0"/>
    <x v="0"/>
    <x v="0"/>
    <x v="4"/>
  </r>
  <r>
    <n v="7"/>
    <x v="6"/>
    <x v="0"/>
    <x v="0"/>
    <x v="0"/>
    <x v="0"/>
    <x v="0"/>
    <x v="0"/>
    <x v="0"/>
    <x v="0"/>
    <x v="0"/>
    <x v="0"/>
    <x v="0"/>
    <x v="0"/>
    <x v="0"/>
    <x v="0"/>
    <x v="0"/>
    <x v="4"/>
  </r>
  <r>
    <n v="8"/>
    <x v="7"/>
    <x v="0"/>
    <x v="0"/>
    <x v="0"/>
    <x v="0"/>
    <x v="0"/>
    <x v="0"/>
    <x v="0"/>
    <x v="0"/>
    <x v="0"/>
    <x v="0"/>
    <x v="0"/>
    <x v="0"/>
    <x v="0"/>
    <x v="0"/>
    <x v="0"/>
    <x v="4"/>
  </r>
  <r>
    <n v="9"/>
    <x v="8"/>
    <x v="0"/>
    <x v="0"/>
    <x v="0"/>
    <x v="0"/>
    <x v="0"/>
    <x v="0"/>
    <x v="0"/>
    <x v="0"/>
    <x v="0"/>
    <x v="0"/>
    <x v="0"/>
    <x v="0"/>
    <x v="0"/>
    <x v="0"/>
    <x v="0"/>
    <x v="4"/>
  </r>
  <r>
    <n v="10"/>
    <x v="9"/>
    <x v="0"/>
    <x v="0"/>
    <x v="0"/>
    <x v="0"/>
    <x v="0"/>
    <x v="0"/>
    <x v="0"/>
    <x v="0"/>
    <x v="0"/>
    <x v="0"/>
    <x v="0"/>
    <x v="0"/>
    <x v="0"/>
    <x v="0"/>
    <x v="0"/>
    <x v="4"/>
  </r>
  <r>
    <n v="11"/>
    <x v="10"/>
    <x v="0"/>
    <x v="0"/>
    <x v="0"/>
    <x v="0"/>
    <x v="0"/>
    <x v="0"/>
    <x v="0"/>
    <x v="0"/>
    <x v="0"/>
    <x v="0"/>
    <x v="0"/>
    <x v="0"/>
    <x v="0"/>
    <x v="0"/>
    <x v="0"/>
    <x v="4"/>
  </r>
  <r>
    <n v="12"/>
    <x v="11"/>
    <x v="0"/>
    <x v="0"/>
    <x v="0"/>
    <x v="0"/>
    <x v="0"/>
    <x v="0"/>
    <x v="0"/>
    <x v="0"/>
    <x v="0"/>
    <x v="0"/>
    <x v="0"/>
    <x v="0"/>
    <x v="0"/>
    <x v="0"/>
    <x v="0"/>
    <x v="4"/>
  </r>
  <r>
    <n v="13"/>
    <x v="12"/>
    <x v="0"/>
    <x v="0"/>
    <x v="0"/>
    <x v="0"/>
    <x v="0"/>
    <x v="0"/>
    <x v="0"/>
    <x v="0"/>
    <x v="0"/>
    <x v="0"/>
    <x v="0"/>
    <x v="0"/>
    <x v="0"/>
    <x v="0"/>
    <x v="0"/>
    <x v="4"/>
  </r>
  <r>
    <n v="14"/>
    <x v="13"/>
    <x v="0"/>
    <x v="0"/>
    <x v="0"/>
    <x v="0"/>
    <x v="0"/>
    <x v="0"/>
    <x v="0"/>
    <x v="0"/>
    <x v="0"/>
    <x v="0"/>
    <x v="0"/>
    <x v="0"/>
    <x v="0"/>
    <x v="0"/>
    <x v="0"/>
    <x v="4"/>
  </r>
  <r>
    <n v="15"/>
    <x v="14"/>
    <x v="0"/>
    <x v="0"/>
    <x v="0"/>
    <x v="0"/>
    <x v="0"/>
    <x v="0"/>
    <x v="0"/>
    <x v="0"/>
    <x v="0"/>
    <x v="0"/>
    <x v="0"/>
    <x v="0"/>
    <x v="0"/>
    <x v="0"/>
    <x v="0"/>
    <x v="4"/>
  </r>
  <r>
    <n v="16"/>
    <x v="15"/>
    <x v="0"/>
    <x v="0"/>
    <x v="0"/>
    <x v="0"/>
    <x v="0"/>
    <x v="0"/>
    <x v="0"/>
    <x v="0"/>
    <x v="0"/>
    <x v="0"/>
    <x v="0"/>
    <x v="0"/>
    <x v="0"/>
    <x v="0"/>
    <x v="0"/>
    <x v="4"/>
  </r>
  <r>
    <n v="17"/>
    <x v="16"/>
    <x v="0"/>
    <x v="0"/>
    <x v="0"/>
    <x v="0"/>
    <x v="0"/>
    <x v="0"/>
    <x v="0"/>
    <x v="0"/>
    <x v="0"/>
    <x v="0"/>
    <x v="0"/>
    <x v="0"/>
    <x v="0"/>
    <x v="0"/>
    <x v="0"/>
    <x v="4"/>
  </r>
  <r>
    <n v="18"/>
    <x v="17"/>
    <x v="0"/>
    <x v="0"/>
    <x v="0"/>
    <x v="0"/>
    <x v="0"/>
    <x v="0"/>
    <x v="0"/>
    <x v="0"/>
    <x v="0"/>
    <x v="0"/>
    <x v="0"/>
    <x v="0"/>
    <x v="0"/>
    <x v="0"/>
    <x v="0"/>
    <x v="4"/>
  </r>
  <r>
    <n v="19"/>
    <x v="18"/>
    <x v="0"/>
    <x v="0"/>
    <x v="0"/>
    <x v="0"/>
    <x v="0"/>
    <x v="0"/>
    <x v="0"/>
    <x v="0"/>
    <x v="0"/>
    <x v="0"/>
    <x v="0"/>
    <x v="0"/>
    <x v="0"/>
    <x v="0"/>
    <x v="0"/>
    <x v="4"/>
  </r>
  <r>
    <n v="20"/>
    <x v="19"/>
    <x v="0"/>
    <x v="0"/>
    <x v="0"/>
    <x v="0"/>
    <x v="0"/>
    <x v="0"/>
    <x v="0"/>
    <x v="0"/>
    <x v="0"/>
    <x v="0"/>
    <x v="0"/>
    <x v="0"/>
    <x v="0"/>
    <x v="0"/>
    <x v="0"/>
    <x v="4"/>
  </r>
  <r>
    <n v="21"/>
    <x v="20"/>
    <x v="0"/>
    <x v="0"/>
    <x v="0"/>
    <x v="0"/>
    <x v="0"/>
    <x v="0"/>
    <x v="0"/>
    <x v="0"/>
    <x v="0"/>
    <x v="0"/>
    <x v="0"/>
    <x v="0"/>
    <x v="0"/>
    <x v="0"/>
    <x v="0"/>
    <x v="4"/>
  </r>
  <r>
    <n v="22"/>
    <x v="21"/>
    <x v="0"/>
    <x v="0"/>
    <x v="0"/>
    <x v="0"/>
    <x v="0"/>
    <x v="0"/>
    <x v="0"/>
    <x v="0"/>
    <x v="0"/>
    <x v="0"/>
    <x v="0"/>
    <x v="0"/>
    <x v="0"/>
    <x v="0"/>
    <x v="0"/>
    <x v="4"/>
  </r>
  <r>
    <n v="23"/>
    <x v="22"/>
    <x v="0"/>
    <x v="0"/>
    <x v="0"/>
    <x v="0"/>
    <x v="0"/>
    <x v="0"/>
    <x v="0"/>
    <x v="0"/>
    <x v="0"/>
    <x v="0"/>
    <x v="0"/>
    <x v="0"/>
    <x v="0"/>
    <x v="0"/>
    <x v="0"/>
    <x v="4"/>
  </r>
  <r>
    <n v="24"/>
    <x v="23"/>
    <x v="0"/>
    <x v="0"/>
    <x v="0"/>
    <x v="0"/>
    <x v="0"/>
    <x v="0"/>
    <x v="0"/>
    <x v="0"/>
    <x v="0"/>
    <x v="0"/>
    <x v="0"/>
    <x v="0"/>
    <x v="0"/>
    <x v="0"/>
    <x v="0"/>
    <x v="4"/>
  </r>
  <r>
    <n v="25"/>
    <x v="24"/>
    <x v="0"/>
    <x v="0"/>
    <x v="0"/>
    <x v="0"/>
    <x v="0"/>
    <x v="0"/>
    <x v="0"/>
    <x v="0"/>
    <x v="0"/>
    <x v="0"/>
    <x v="0"/>
    <x v="0"/>
    <x v="0"/>
    <x v="0"/>
    <x v="0"/>
    <x v="4"/>
  </r>
  <r>
    <n v="26"/>
    <x v="25"/>
    <x v="0"/>
    <x v="0"/>
    <x v="0"/>
    <x v="0"/>
    <x v="0"/>
    <x v="0"/>
    <x v="0"/>
    <x v="0"/>
    <x v="0"/>
    <x v="0"/>
    <x v="0"/>
    <x v="0"/>
    <x v="0"/>
    <x v="0"/>
    <x v="0"/>
    <x v="4"/>
  </r>
  <r>
    <n v="27"/>
    <x v="26"/>
    <x v="0"/>
    <x v="0"/>
    <x v="0"/>
    <x v="0"/>
    <x v="0"/>
    <x v="0"/>
    <x v="0"/>
    <x v="0"/>
    <x v="0"/>
    <x v="0"/>
    <x v="0"/>
    <x v="0"/>
    <x v="0"/>
    <x v="0"/>
    <x v="0"/>
    <x v="4"/>
  </r>
  <r>
    <n v="28"/>
    <x v="27"/>
    <x v="0"/>
    <x v="0"/>
    <x v="0"/>
    <x v="0"/>
    <x v="0"/>
    <x v="0"/>
    <x v="0"/>
    <x v="0"/>
    <x v="0"/>
    <x v="0"/>
    <x v="0"/>
    <x v="0"/>
    <x v="0"/>
    <x v="0"/>
    <x v="0"/>
    <x v="4"/>
  </r>
  <r>
    <n v="29"/>
    <x v="28"/>
    <x v="0"/>
    <x v="0"/>
    <x v="0"/>
    <x v="0"/>
    <x v="0"/>
    <x v="0"/>
    <x v="0"/>
    <x v="0"/>
    <x v="0"/>
    <x v="0"/>
    <x v="0"/>
    <x v="0"/>
    <x v="0"/>
    <x v="0"/>
    <x v="0"/>
    <x v="4"/>
  </r>
  <r>
    <n v="30"/>
    <x v="29"/>
    <x v="0"/>
    <x v="0"/>
    <x v="0"/>
    <x v="0"/>
    <x v="0"/>
    <x v="0"/>
    <x v="0"/>
    <x v="0"/>
    <x v="0"/>
    <x v="0"/>
    <x v="0"/>
    <x v="0"/>
    <x v="0"/>
    <x v="0"/>
    <x v="0"/>
    <x v="4"/>
  </r>
  <r>
    <n v="31"/>
    <x v="30"/>
    <x v="0"/>
    <x v="0"/>
    <x v="0"/>
    <x v="0"/>
    <x v="0"/>
    <x v="0"/>
    <x v="0"/>
    <x v="0"/>
    <x v="0"/>
    <x v="0"/>
    <x v="0"/>
    <x v="0"/>
    <x v="0"/>
    <x v="0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grandTotalCaption="TỔNG" updatedVersion="6" minRefreshableVersion="3" itemPrintTitles="1" createdVersion="6" indent="0" outline="1" outlineData="1" multipleFieldFilters="0" rowHeaderCaption="NGÀY" colHeaderCaption="Nội Dung" fieldListSortAscending="1">
  <location ref="J20:K23" firstHeaderRow="1" firstDataRow="1" firstDataCol="1"/>
  <pivotFields count="6">
    <pivotField showAll="0" defaultSubtotal="0"/>
    <pivotField axis="axisRow" showAll="0" defaultSubtotal="0">
      <items count="5">
        <item m="1" x="3"/>
        <item m="1" x="1"/>
        <item x="0"/>
        <item m="1" x="2"/>
        <item m="1" x="4"/>
      </items>
    </pivotField>
    <pivotField axis="axisRow" showAll="0" defaultSubtotal="0">
      <items count="3">
        <item x="0"/>
        <item m="1" x="1"/>
        <item m="1" x="2"/>
      </items>
    </pivotField>
    <pivotField showAll="0" defaultSubtotal="0"/>
    <pivotField dataField="1" showAll="0" defaultSubtotal="0"/>
    <pivotField showAll="0" defaultSubtotal="0"/>
  </pivotFields>
  <rowFields count="2">
    <field x="1"/>
    <field x="2"/>
  </rowFields>
  <rowItems count="3">
    <i>
      <x v="2"/>
    </i>
    <i r="1">
      <x/>
    </i>
    <i t="grand">
      <x/>
    </i>
  </rowItems>
  <colItems count="1">
    <i/>
  </colItems>
  <dataFields count="1">
    <dataField name="CHI" fld="4" baseField="0" baseItem="0" numFmtId="3"/>
  </dataField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rowGrandTotals="0" colGrandTotals="0" itemPrintTitles="1" createdVersion="6" indent="0" outline="1" outlineData="1" multipleFieldFilters="0" chartFormat="3" rowHeaderCaption="NĂM" fieldListSortAscending="1">
  <location ref="J12:K1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1"/>
        <item x="2"/>
        <item x="3"/>
        <item x="4"/>
        <item x="0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Tổng" fld="16" baseField="0" baseItem="0" numFmtId="3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rowGrandTotals="0" colGrandTotals="0" itemPrintTitles="1" createdVersion="6" indent="0" outline="1" outlineData="1" multipleFieldFilters="0" chartFormat="3" rowHeaderCaption="TÊN" fieldListSortAscending="1">
  <location ref="J3:K8" firstHeaderRow="1" firstDataRow="1" firstDataCol="1"/>
  <pivotFields count="18">
    <pivotField showAll="0"/>
    <pivotField axis="axisRow" showAll="0" measureFilter="1">
      <items count="33">
        <item x="5"/>
        <item x="1"/>
        <item x="29"/>
        <item x="7"/>
        <item x="12"/>
        <item x="6"/>
        <item x="11"/>
        <item x="0"/>
        <item x="14"/>
        <item x="17"/>
        <item x="28"/>
        <item x="13"/>
        <item x="19"/>
        <item x="16"/>
        <item x="3"/>
        <item x="8"/>
        <item x="18"/>
        <item x="27"/>
        <item x="30"/>
        <item x="22"/>
        <item x="21"/>
        <item x="31"/>
        <item x="23"/>
        <item x="15"/>
        <item x="4"/>
        <item x="20"/>
        <item x="26"/>
        <item x="2"/>
        <item x="9"/>
        <item x="25"/>
        <item x="24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 v="2"/>
    </i>
    <i>
      <x v="10"/>
    </i>
    <i>
      <x v="18"/>
    </i>
    <i>
      <x v="20"/>
    </i>
    <i>
      <x v="23"/>
    </i>
  </rowItems>
  <colItems count="1">
    <i/>
  </colItems>
  <dataFields count="1">
    <dataField name="TOP 5" fld="16" baseField="1" baseItem="2" numFmtId="3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grandTotalCaption="TỔNG" updatedVersion="6" minRefreshableVersion="3" itemPrintTitles="1" createdVersion="6" indent="0" outline="1" outlineData="1" multipleFieldFilters="0" rowHeaderCaption="Trai xinh - Gái đẹp" colHeaderCaption="NĂM" fieldListSortAscending="1">
  <location ref="B3:H37" firstHeaderRow="1" firstDataRow="2" firstDataCol="1"/>
  <pivotFields count="18">
    <pivotField showAll="0"/>
    <pivotField axis="axisRow" showAll="0">
      <items count="33">
        <item x="5"/>
        <item x="1"/>
        <item x="29"/>
        <item x="7"/>
        <item x="12"/>
        <item x="6"/>
        <item x="11"/>
        <item x="0"/>
        <item x="14"/>
        <item x="17"/>
        <item x="28"/>
        <item x="13"/>
        <item x="19"/>
        <item x="16"/>
        <item x="3"/>
        <item x="8"/>
        <item x="18"/>
        <item x="27"/>
        <item x="30"/>
        <item x="22"/>
        <item x="21"/>
        <item x="31"/>
        <item x="23"/>
        <item x="15"/>
        <item x="4"/>
        <item x="20"/>
        <item x="26"/>
        <item x="2"/>
        <item x="9"/>
        <item x="25"/>
        <item x="24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6">
        <item x="1"/>
        <item x="2"/>
        <item x="3"/>
        <item x="4"/>
        <item x="0"/>
        <item t="default"/>
      </items>
    </pivotField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1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DANH SÁCH" fld="16" baseField="0" baseItem="0" numFmtId="3"/>
  </dataFields>
  <formats count="4">
    <format dxfId="3">
      <pivotArea dataOnly="0" labelOnly="1" grandCol="1" outline="0" fieldPosition="0"/>
    </format>
    <format dxfId="2">
      <pivotArea collapsedLevelsAreSubtotals="1" fieldPosition="0">
        <references count="2">
          <reference field="1" count="1">
            <x v="1"/>
          </reference>
          <reference field="17" count="1" selected="0">
            <x v="1"/>
          </reference>
        </references>
      </pivotArea>
    </format>
    <format dxfId="1">
      <pivotArea collapsedLevelsAreSubtotals="1" fieldPosition="0">
        <references count="2">
          <reference field="1" count="1">
            <x v="1"/>
          </reference>
          <reference field="17" count="1" selected="0">
            <x v="1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Dark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9" name="Chi" displayName="Chi" ref="B5:G23" totalsRowShown="0" headerRowDxfId="192">
  <autoFilter ref="B5:G23"/>
  <tableColumns count="6">
    <tableColumn id="1" name="STT" dataDxfId="191">
      <calculatedColumnFormula>ROW()-5</calculatedColumnFormula>
    </tableColumn>
    <tableColumn id="2" name="NGÀY" dataDxfId="190"/>
    <tableColumn id="3" name="HẠNG MỤC CHI"/>
    <tableColumn id="4" name="DIỄN GIẢI"/>
    <tableColumn id="5" name="SỐ TIỀN" dataDxfId="189" dataCellStyle="Comma"/>
    <tableColumn id="6" name="GHI CHÚ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1" name="_2023" displayName="_2023" ref="B5:R53" headerRowDxfId="188" dataDxfId="187" tableBorderDxfId="186">
  <autoFilter ref="B5:R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STT" totalsRowLabel="Total" dataDxfId="185" totalsRowDxfId="184">
      <calculatedColumnFormula>ROW()-5</calculatedColumnFormula>
    </tableColumn>
    <tableColumn id="2" name="Xinh Gái - Đẹp Trai" dataDxfId="183" totalsRowDxfId="182"/>
    <tableColumn id="3" name="T1" dataDxfId="181" totalsRowDxfId="180"/>
    <tableColumn id="4" name="T2" dataDxfId="179" totalsRowDxfId="178"/>
    <tableColumn id="5" name="T3" dataDxfId="177" totalsRowDxfId="176"/>
    <tableColumn id="6" name="T4" dataDxfId="175" totalsRowDxfId="174"/>
    <tableColumn id="7" name="T5" dataDxfId="173" totalsRowDxfId="172"/>
    <tableColumn id="8" name="T6" dataDxfId="171" totalsRowDxfId="170"/>
    <tableColumn id="9" name="T7" dataDxfId="169" totalsRowDxfId="168"/>
    <tableColumn id="10" name="T8" dataDxfId="167" totalsRowDxfId="166"/>
    <tableColumn id="11" name="T9" dataDxfId="165" totalsRowDxfId="164"/>
    <tableColumn id="12" name="T10" dataDxfId="163" totalsRowDxfId="162"/>
    <tableColumn id="13" name="T11" dataDxfId="161" totalsRowDxfId="160"/>
    <tableColumn id="14" name="T12" dataDxfId="159" totalsRowDxfId="158"/>
    <tableColumn id="15" name="Ghi Chú" dataDxfId="157" totalsRowDxfId="156"/>
    <tableColumn id="16" name="Đã Thu" dataDxfId="155" totalsRowDxfId="154">
      <calculatedColumnFormula>COUNTIF(D6:O6,"x")</calculatedColumnFormula>
    </tableColumn>
    <tableColumn id="17" name="Tổng" totalsRowFunction="sum" dataDxfId="153" totalsRowDxfId="152" dataCellStyle="Comma">
      <calculatedColumnFormula>Q6*50000+P6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3" name="_20234" displayName="_20234" ref="B5:R53" headerRowDxfId="151" dataDxfId="150" tableBorderDxfId="149">
  <autoFilter ref="B5:R53"/>
  <tableColumns count="17">
    <tableColumn id="1" name="STT" totalsRowLabel="Total" dataDxfId="148" totalsRowDxfId="147">
      <calculatedColumnFormula>ROW()-5</calculatedColumnFormula>
    </tableColumn>
    <tableColumn id="2" name="Xinh Gái - Đẹp Trai" dataDxfId="146" totalsRowDxfId="145"/>
    <tableColumn id="3" name="T1" dataDxfId="144" totalsRowDxfId="143"/>
    <tableColumn id="4" name="T2" dataDxfId="142" totalsRowDxfId="141"/>
    <tableColumn id="5" name="T3" dataDxfId="140" totalsRowDxfId="139"/>
    <tableColumn id="6" name="T4" dataDxfId="138" totalsRowDxfId="137"/>
    <tableColumn id="7" name="T5" dataDxfId="136" totalsRowDxfId="135"/>
    <tableColumn id="8" name="T6" dataDxfId="134" totalsRowDxfId="133"/>
    <tableColumn id="9" name="T7" dataDxfId="132" totalsRowDxfId="131"/>
    <tableColumn id="10" name="T8" dataDxfId="130" totalsRowDxfId="129"/>
    <tableColumn id="11" name="T9" dataDxfId="128" totalsRowDxfId="127"/>
    <tableColumn id="12" name="T10" dataDxfId="126" totalsRowDxfId="125"/>
    <tableColumn id="13" name="T11" dataDxfId="124" totalsRowDxfId="123"/>
    <tableColumn id="14" name="T12" dataDxfId="122" totalsRowDxfId="121"/>
    <tableColumn id="15" name="Ghi Chú" dataDxfId="120" totalsRowDxfId="119"/>
    <tableColumn id="16" name="Đã Thu" dataDxfId="118" totalsRowDxfId="117">
      <calculatedColumnFormula>COUNTIF(D6:O6,"x")</calculatedColumnFormula>
    </tableColumn>
    <tableColumn id="17" name="Tổng" totalsRowFunction="sum" dataDxfId="116" totalsRowDxfId="115" dataCellStyle="Comma">
      <calculatedColumnFormula>Q6*50000+P6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6" name="_202337" displayName="_202337" ref="B5:R53" headerRowDxfId="114" dataDxfId="113" tableBorderDxfId="112">
  <autoFilter ref="B5:R53"/>
  <tableColumns count="17">
    <tableColumn id="1" name="STT" totalsRowLabel="Total" dataDxfId="111" totalsRowDxfId="110">
      <calculatedColumnFormula>ROW()-5</calculatedColumnFormula>
    </tableColumn>
    <tableColumn id="2" name="Xinh Gái - Đẹp Trai" dataDxfId="109" totalsRowDxfId="108"/>
    <tableColumn id="3" name="T1" dataDxfId="107" totalsRowDxfId="106"/>
    <tableColumn id="4" name="T2" dataDxfId="105" totalsRowDxfId="104"/>
    <tableColumn id="5" name="T3" dataDxfId="103" totalsRowDxfId="102"/>
    <tableColumn id="6" name="T4" dataDxfId="101" totalsRowDxfId="100"/>
    <tableColumn id="7" name="T5" dataDxfId="99" totalsRowDxfId="98"/>
    <tableColumn id="8" name="T6" dataDxfId="97" totalsRowDxfId="96"/>
    <tableColumn id="9" name="T7" dataDxfId="95" totalsRowDxfId="94"/>
    <tableColumn id="10" name="T8" dataDxfId="93" totalsRowDxfId="92"/>
    <tableColumn id="11" name="T9" dataDxfId="91" totalsRowDxfId="90"/>
    <tableColumn id="12" name="T10" dataDxfId="89" totalsRowDxfId="88"/>
    <tableColumn id="13" name="T11" dataDxfId="87" totalsRowDxfId="86"/>
    <tableColumn id="14" name="T12" dataDxfId="85" totalsRowDxfId="84"/>
    <tableColumn id="15" name="Ghi Chú" dataDxfId="83" totalsRowDxfId="82"/>
    <tableColumn id="16" name="Đã Thu" dataDxfId="81" totalsRowDxfId="80">
      <calculatedColumnFormula>COUNTIF(D6:O6,"x")</calculatedColumnFormula>
    </tableColumn>
    <tableColumn id="17" name="Tổng" totalsRowFunction="sum" dataDxfId="79" totalsRowDxfId="78" dataCellStyle="Comma">
      <calculatedColumnFormula>Q6*50000+P6</calculatedColumnFormula>
    </tableColumn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id="7" name="_202338" displayName="_202338" ref="B5:R53" headerRowDxfId="77" dataDxfId="76" tableBorderDxfId="75">
  <autoFilter ref="B5:R53"/>
  <tableColumns count="17">
    <tableColumn id="1" name="STT" totalsRowLabel="Total" dataDxfId="74" totalsRowDxfId="73">
      <calculatedColumnFormula>ROW()-5</calculatedColumnFormula>
    </tableColumn>
    <tableColumn id="2" name="Xinh Gái - Đẹp Trai" dataDxfId="72" totalsRowDxfId="71"/>
    <tableColumn id="3" name="T1" dataDxfId="70" totalsRowDxfId="69"/>
    <tableColumn id="4" name="T2" dataDxfId="68" totalsRowDxfId="67"/>
    <tableColumn id="5" name="T3" dataDxfId="66" totalsRowDxfId="65"/>
    <tableColumn id="6" name="T4" dataDxfId="64" totalsRowDxfId="63"/>
    <tableColumn id="7" name="T5" dataDxfId="62" totalsRowDxfId="61"/>
    <tableColumn id="8" name="T6" dataDxfId="60" totalsRowDxfId="59"/>
    <tableColumn id="9" name="T7" dataDxfId="58" totalsRowDxfId="57"/>
    <tableColumn id="10" name="T8" dataDxfId="56" totalsRowDxfId="55"/>
    <tableColumn id="11" name="T9" dataDxfId="54" totalsRowDxfId="53"/>
    <tableColumn id="12" name="T10" dataDxfId="52" totalsRowDxfId="51"/>
    <tableColumn id="13" name="T11" dataDxfId="50" totalsRowDxfId="49"/>
    <tableColumn id="14" name="T12" dataDxfId="48" totalsRowDxfId="47"/>
    <tableColumn id="15" name="Ghi Chú" dataDxfId="46" totalsRowDxfId="45"/>
    <tableColumn id="16" name="Đã Thu" dataDxfId="44" totalsRowDxfId="43">
      <calculatedColumnFormula>COUNTIF(D6:O6,"x")</calculatedColumnFormula>
    </tableColumn>
    <tableColumn id="17" name="Tổng" totalsRowFunction="sum" dataDxfId="42" totalsRowDxfId="41" dataCellStyle="Comma">
      <calculatedColumnFormula>Q6*50000+P6</calculatedColumnFormula>
    </tableColumn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id="8" name="_202339" displayName="_202339" ref="B5:R53" headerRowDxfId="40" dataDxfId="39" tableBorderDxfId="38">
  <autoFilter ref="B5:R53"/>
  <tableColumns count="17">
    <tableColumn id="1" name="STT" totalsRowLabel="Total" dataDxfId="37" totalsRowDxfId="36">
      <calculatedColumnFormula>ROW()-5</calculatedColumnFormula>
    </tableColumn>
    <tableColumn id="2" name="Xinh Gái - Đẹp Trai" dataDxfId="35" totalsRowDxfId="34"/>
    <tableColumn id="3" name="T1" dataDxfId="33" totalsRowDxfId="32"/>
    <tableColumn id="4" name="T2" dataDxfId="31" totalsRowDxfId="30"/>
    <tableColumn id="5" name="T3" dataDxfId="29" totalsRowDxfId="28"/>
    <tableColumn id="6" name="T4" dataDxfId="27" totalsRowDxfId="26"/>
    <tableColumn id="7" name="T5" dataDxfId="25" totalsRowDxfId="24"/>
    <tableColumn id="8" name="T6" dataDxfId="23" totalsRowDxfId="22"/>
    <tableColumn id="9" name="T7" dataDxfId="21" totalsRowDxfId="20"/>
    <tableColumn id="10" name="T8" dataDxfId="19" totalsRowDxfId="18"/>
    <tableColumn id="11" name="T9" dataDxfId="17" totalsRowDxfId="16"/>
    <tableColumn id="12" name="T10" dataDxfId="15" totalsRowDxfId="14"/>
    <tableColumn id="13" name="T11" dataDxfId="13" totalsRowDxfId="12"/>
    <tableColumn id="14" name="T12" dataDxfId="11" totalsRowDxfId="10"/>
    <tableColumn id="15" name="Ghi Chú" dataDxfId="9" totalsRowDxfId="8"/>
    <tableColumn id="16" name="Đã Thu" dataDxfId="7" totalsRowDxfId="6">
      <calculatedColumnFormula>COUNTIF(D6:O6,"x")</calculatedColumnFormula>
    </tableColumn>
    <tableColumn id="17" name="Tổng" totalsRowFunction="sum" dataDxfId="5" totalsRowDxfId="4" dataCellStyle="Comma">
      <calculatedColumnFormula>Q6*50000+P6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4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"/>
  <sheetViews>
    <sheetView showGridLines="0" zoomScaleNormal="100" workbookViewId="0">
      <selection activeCell="F20" sqref="F20"/>
    </sheetView>
  </sheetViews>
  <sheetFormatPr defaultRowHeight="14.5" x14ac:dyDescent="0.35"/>
  <cols>
    <col min="1" max="1" width="3.26953125" customWidth="1"/>
    <col min="2" max="2" width="11.26953125" customWidth="1"/>
    <col min="4" max="4" width="7.26953125" customWidth="1"/>
    <col min="5" max="5" width="10" customWidth="1"/>
    <col min="14" max="14" width="21.81640625" customWidth="1"/>
    <col min="17" max="17" width="13.6328125" hidden="1" customWidth="1"/>
  </cols>
  <sheetData>
    <row r="1" spans="1:17" ht="29.5" customHeight="1" x14ac:dyDescent="0.65">
      <c r="A1" s="46"/>
      <c r="B1" s="47"/>
      <c r="C1" s="47"/>
      <c r="D1" s="47"/>
      <c r="E1" s="47"/>
      <c r="F1" s="47"/>
      <c r="G1" s="47"/>
    </row>
    <row r="2" spans="1:17" x14ac:dyDescent="0.35">
      <c r="A2" s="30"/>
      <c r="B2" s="31"/>
      <c r="C2" s="32"/>
      <c r="D2" s="32"/>
      <c r="E2" s="32"/>
      <c r="F2" s="32"/>
    </row>
    <row r="3" spans="1:17" ht="18.5" x14ac:dyDescent="0.45">
      <c r="A3" s="30"/>
      <c r="B3" s="48"/>
      <c r="C3" s="49"/>
      <c r="D3" s="49"/>
      <c r="E3" s="33"/>
      <c r="F3" s="32"/>
      <c r="Q3" s="34">
        <f>GETPIVOTDATA("Tổng",data!$B$3)</f>
        <v>12350000</v>
      </c>
    </row>
    <row r="4" spans="1:17" x14ac:dyDescent="0.35">
      <c r="A4" s="30"/>
      <c r="B4" s="49"/>
      <c r="C4" s="49"/>
      <c r="D4" s="49"/>
      <c r="E4" s="33"/>
      <c r="F4" s="32"/>
      <c r="Q4" s="34">
        <f>CHI!F3</f>
        <v>1500000</v>
      </c>
    </row>
    <row r="5" spans="1:17" x14ac:dyDescent="0.35">
      <c r="A5" s="30"/>
      <c r="B5" s="31"/>
      <c r="C5" s="32"/>
      <c r="D5" s="30"/>
      <c r="E5" s="33"/>
      <c r="F5" s="32"/>
      <c r="Q5" s="38">
        <f>Q3-Q4</f>
        <v>10850000</v>
      </c>
    </row>
    <row r="6" spans="1:17" x14ac:dyDescent="0.35">
      <c r="A6" s="30"/>
      <c r="B6" s="31"/>
      <c r="C6" s="32"/>
      <c r="D6" s="30"/>
      <c r="E6" s="33"/>
      <c r="F6" s="32"/>
    </row>
    <row r="7" spans="1:17" x14ac:dyDescent="0.35">
      <c r="A7" s="32"/>
      <c r="B7" s="32"/>
      <c r="C7" s="32"/>
      <c r="D7" s="30"/>
      <c r="E7" s="33"/>
      <c r="F7" s="32"/>
    </row>
    <row r="8" spans="1:17" x14ac:dyDescent="0.35">
      <c r="D8" s="27"/>
      <c r="E8" s="28"/>
      <c r="N8" s="38"/>
    </row>
    <row r="21" spans="1:16" ht="5.5" customHeight="1" x14ac:dyDescent="0.35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</row>
    <row r="26" spans="1:16" x14ac:dyDescent="0.35">
      <c r="M26" s="27"/>
      <c r="N26" s="28"/>
    </row>
    <row r="27" spans="1:16" x14ac:dyDescent="0.35">
      <c r="M27" s="27"/>
      <c r="N27" s="28"/>
    </row>
    <row r="28" spans="1:16" x14ac:dyDescent="0.35">
      <c r="M28" s="27"/>
      <c r="N28" s="28"/>
    </row>
    <row r="29" spans="1:16" x14ac:dyDescent="0.35">
      <c r="M29" s="27"/>
      <c r="N29" s="28"/>
    </row>
    <row r="30" spans="1:16" x14ac:dyDescent="0.35">
      <c r="M30" s="27"/>
      <c r="N30" s="28"/>
    </row>
    <row r="31" spans="1:16" x14ac:dyDescent="0.35">
      <c r="M31" s="27"/>
      <c r="N31" s="28"/>
    </row>
  </sheetData>
  <mergeCells count="4">
    <mergeCell ref="A1:G1"/>
    <mergeCell ref="B3:D3"/>
    <mergeCell ref="B4:D4"/>
    <mergeCell ref="A21:P2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"/>
  <sheetViews>
    <sheetView workbookViewId="0">
      <selection activeCell="F8" sqref="F8"/>
    </sheetView>
  </sheetViews>
  <sheetFormatPr defaultRowHeight="14.5" x14ac:dyDescent="0.35"/>
  <cols>
    <col min="2" max="2" width="6.453125" customWidth="1"/>
    <col min="3" max="3" width="13.7265625" customWidth="1"/>
    <col min="4" max="4" width="30.26953125" customWidth="1"/>
    <col min="5" max="5" width="33.81640625" customWidth="1"/>
    <col min="6" max="6" width="16.54296875" customWidth="1"/>
    <col min="7" max="7" width="12.26953125" customWidth="1"/>
  </cols>
  <sheetData>
    <row r="1" spans="1:19" ht="21" customHeight="1" x14ac:dyDescent="0.55000000000000004">
      <c r="A1" s="51" t="s">
        <v>60</v>
      </c>
      <c r="B1" s="51"/>
      <c r="C1" s="51"/>
      <c r="D1" s="52"/>
      <c r="E1" s="52"/>
      <c r="F1" s="1"/>
      <c r="G1" s="1"/>
      <c r="H1" s="2"/>
      <c r="I1" s="2"/>
      <c r="J1" s="2"/>
      <c r="K1" s="2"/>
      <c r="L1" s="2"/>
      <c r="M1" s="2"/>
      <c r="N1" s="2"/>
      <c r="O1" s="2"/>
      <c r="P1" s="1"/>
      <c r="Q1" s="1"/>
      <c r="R1" s="1"/>
    </row>
    <row r="2" spans="1:19" ht="3.5" customHeight="1" x14ac:dyDescent="0.3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</row>
    <row r="3" spans="1:19" ht="24.5" customHeight="1" x14ac:dyDescent="0.55000000000000004">
      <c r="A3" s="1"/>
      <c r="B3" s="52"/>
      <c r="C3" s="52"/>
      <c r="D3" s="1"/>
      <c r="E3" s="43" t="s">
        <v>54</v>
      </c>
      <c r="F3" s="42">
        <f>SUM(Chi[SỐ TIỀN])</f>
        <v>1500000</v>
      </c>
      <c r="G3" s="1"/>
      <c r="H3" s="1"/>
      <c r="I3" s="1"/>
      <c r="J3" s="1"/>
      <c r="K3" s="4"/>
      <c r="L3" s="1"/>
      <c r="M3" s="5"/>
      <c r="N3" s="1"/>
      <c r="O3" s="22"/>
      <c r="P3" s="1"/>
      <c r="Q3" s="1"/>
      <c r="R3" s="6"/>
    </row>
    <row r="4" spans="1:19" ht="5.5" customHeight="1" x14ac:dyDescent="0.35">
      <c r="A4" s="14"/>
      <c r="B4" s="15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9"/>
    </row>
    <row r="5" spans="1:19" s="41" customFormat="1" x14ac:dyDescent="0.35">
      <c r="A5" s="39"/>
      <c r="B5" s="40" t="s">
        <v>4</v>
      </c>
      <c r="C5" s="40" t="s">
        <v>55</v>
      </c>
      <c r="D5" s="40" t="s">
        <v>56</v>
      </c>
      <c r="E5" s="40" t="s">
        <v>57</v>
      </c>
      <c r="F5" s="40" t="s">
        <v>58</v>
      </c>
      <c r="G5" s="40" t="s">
        <v>59</v>
      </c>
      <c r="H5" s="39"/>
    </row>
    <row r="6" spans="1:19" x14ac:dyDescent="0.35">
      <c r="A6" s="1"/>
      <c r="B6" s="35">
        <f t="shared" ref="B6:B23" si="0">ROW()-5</f>
        <v>1</v>
      </c>
      <c r="C6" s="36">
        <v>45235</v>
      </c>
      <c r="D6" s="1" t="s">
        <v>61</v>
      </c>
      <c r="E6" s="1" t="s">
        <v>62</v>
      </c>
      <c r="F6" s="37">
        <v>1500000</v>
      </c>
      <c r="G6" s="1"/>
      <c r="H6" s="1"/>
    </row>
    <row r="7" spans="1:19" x14ac:dyDescent="0.35">
      <c r="A7" s="1"/>
      <c r="B7" s="35">
        <f t="shared" si="0"/>
        <v>2</v>
      </c>
      <c r="C7" s="36"/>
      <c r="D7" s="1"/>
      <c r="E7" s="1"/>
      <c r="F7" s="37"/>
      <c r="G7" s="1"/>
      <c r="H7" s="1"/>
    </row>
    <row r="8" spans="1:19" x14ac:dyDescent="0.35">
      <c r="A8" s="1"/>
      <c r="B8" s="35">
        <f t="shared" si="0"/>
        <v>3</v>
      </c>
      <c r="C8" s="36"/>
      <c r="D8" s="1"/>
      <c r="E8" s="1"/>
      <c r="F8" s="37"/>
      <c r="G8" s="1"/>
      <c r="H8" s="1"/>
    </row>
    <row r="9" spans="1:19" x14ac:dyDescent="0.35">
      <c r="A9" s="1"/>
      <c r="B9" s="35">
        <f t="shared" si="0"/>
        <v>4</v>
      </c>
      <c r="C9" s="36"/>
      <c r="D9" s="1"/>
      <c r="E9" s="1"/>
      <c r="F9" s="37"/>
      <c r="G9" s="1"/>
      <c r="H9" s="1"/>
    </row>
    <row r="10" spans="1:19" x14ac:dyDescent="0.35">
      <c r="A10" s="1"/>
      <c r="B10" s="35">
        <f t="shared" si="0"/>
        <v>5</v>
      </c>
      <c r="C10" s="36"/>
      <c r="D10" s="1"/>
      <c r="E10" s="1"/>
      <c r="F10" s="37"/>
      <c r="G10" s="1"/>
      <c r="H10" s="1"/>
    </row>
    <row r="11" spans="1:19" x14ac:dyDescent="0.35">
      <c r="A11" s="1"/>
      <c r="B11" s="35">
        <f t="shared" si="0"/>
        <v>6</v>
      </c>
      <c r="C11" s="36"/>
      <c r="D11" s="1"/>
      <c r="E11" s="1"/>
      <c r="F11" s="37"/>
      <c r="G11" s="1"/>
      <c r="H11" s="1"/>
    </row>
    <row r="12" spans="1:19" x14ac:dyDescent="0.35">
      <c r="A12" s="1"/>
      <c r="B12" s="35">
        <f t="shared" si="0"/>
        <v>7</v>
      </c>
      <c r="C12" s="36"/>
      <c r="D12" s="1"/>
      <c r="E12" s="1"/>
      <c r="F12" s="37"/>
      <c r="G12" s="1"/>
      <c r="H12" s="1"/>
    </row>
    <row r="13" spans="1:19" x14ac:dyDescent="0.35">
      <c r="A13" s="1"/>
      <c r="B13" s="35">
        <f t="shared" si="0"/>
        <v>8</v>
      </c>
      <c r="C13" s="36"/>
      <c r="D13" s="1"/>
      <c r="E13" s="1"/>
      <c r="F13" s="37"/>
      <c r="G13" s="1"/>
      <c r="H13" s="1"/>
    </row>
    <row r="14" spans="1:19" x14ac:dyDescent="0.35">
      <c r="A14" s="1"/>
      <c r="B14" s="35">
        <f t="shared" si="0"/>
        <v>9</v>
      </c>
      <c r="C14" s="36"/>
      <c r="D14" s="1"/>
      <c r="E14" s="1"/>
      <c r="F14" s="37"/>
      <c r="G14" s="1"/>
      <c r="H14" s="1"/>
    </row>
    <row r="15" spans="1:19" x14ac:dyDescent="0.35">
      <c r="A15" s="1"/>
      <c r="B15" s="35">
        <f t="shared" si="0"/>
        <v>10</v>
      </c>
      <c r="C15" s="36"/>
      <c r="D15" s="1"/>
      <c r="E15" s="1"/>
      <c r="F15" s="37"/>
      <c r="G15" s="1"/>
      <c r="H15" s="1"/>
    </row>
    <row r="16" spans="1:19" x14ac:dyDescent="0.35">
      <c r="A16" s="1"/>
      <c r="B16" s="35">
        <f t="shared" si="0"/>
        <v>11</v>
      </c>
      <c r="C16" s="36"/>
      <c r="D16" s="1"/>
      <c r="E16" s="1"/>
      <c r="F16" s="37"/>
      <c r="G16" s="1"/>
      <c r="H16" s="1"/>
    </row>
    <row r="17" spans="1:8" x14ac:dyDescent="0.35">
      <c r="A17" s="1"/>
      <c r="B17" s="35">
        <f t="shared" si="0"/>
        <v>12</v>
      </c>
      <c r="C17" s="36"/>
      <c r="D17" s="1"/>
      <c r="E17" s="1"/>
      <c r="F17" s="37"/>
      <c r="G17" s="1"/>
      <c r="H17" s="1"/>
    </row>
    <row r="18" spans="1:8" x14ac:dyDescent="0.35">
      <c r="A18" s="1"/>
      <c r="B18" s="35">
        <f t="shared" si="0"/>
        <v>13</v>
      </c>
      <c r="C18" s="36"/>
      <c r="D18" s="1"/>
      <c r="E18" s="1"/>
      <c r="F18" s="37"/>
      <c r="G18" s="1"/>
      <c r="H18" s="1"/>
    </row>
    <row r="19" spans="1:8" x14ac:dyDescent="0.35">
      <c r="A19" s="1"/>
      <c r="B19" s="35">
        <f t="shared" si="0"/>
        <v>14</v>
      </c>
      <c r="C19" s="36"/>
      <c r="D19" s="1"/>
      <c r="E19" s="1"/>
      <c r="F19" s="37"/>
      <c r="G19" s="1"/>
      <c r="H19" s="1"/>
    </row>
    <row r="20" spans="1:8" x14ac:dyDescent="0.35">
      <c r="A20" s="1"/>
      <c r="B20" s="35">
        <f t="shared" si="0"/>
        <v>15</v>
      </c>
      <c r="C20" s="36"/>
      <c r="D20" s="1"/>
      <c r="E20" s="1"/>
      <c r="F20" s="37"/>
      <c r="G20" s="1"/>
      <c r="H20" s="1"/>
    </row>
    <row r="21" spans="1:8" x14ac:dyDescent="0.35">
      <c r="A21" s="1"/>
      <c r="B21" s="35">
        <f t="shared" si="0"/>
        <v>16</v>
      </c>
      <c r="C21" s="36"/>
      <c r="D21" s="1"/>
      <c r="E21" s="1"/>
      <c r="F21" s="37"/>
      <c r="G21" s="1"/>
      <c r="H21" s="1"/>
    </row>
    <row r="22" spans="1:8" x14ac:dyDescent="0.35">
      <c r="A22" s="1"/>
      <c r="B22" s="35">
        <f t="shared" si="0"/>
        <v>17</v>
      </c>
      <c r="C22" s="36"/>
      <c r="D22" s="1"/>
      <c r="E22" s="1"/>
      <c r="F22" s="37"/>
      <c r="G22" s="1"/>
      <c r="H22" s="1"/>
    </row>
    <row r="23" spans="1:8" x14ac:dyDescent="0.35">
      <c r="A23" s="1"/>
      <c r="B23" s="35">
        <f t="shared" si="0"/>
        <v>18</v>
      </c>
      <c r="C23" s="36"/>
      <c r="D23" s="1"/>
      <c r="E23" s="1"/>
      <c r="F23" s="37"/>
      <c r="G23" s="1"/>
      <c r="H23" s="1"/>
    </row>
    <row r="24" spans="1:8" x14ac:dyDescent="0.35">
      <c r="A24" s="1"/>
      <c r="B24" s="35"/>
      <c r="C24" s="1"/>
      <c r="D24" s="1"/>
      <c r="E24" s="1"/>
      <c r="F24" s="1"/>
      <c r="G24" s="1"/>
      <c r="H24" s="1"/>
    </row>
  </sheetData>
  <mergeCells count="4">
    <mergeCell ref="A1:C1"/>
    <mergeCell ref="D1:E1"/>
    <mergeCell ref="A2:S2"/>
    <mergeCell ref="B3:C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RowHeight="14.5" x14ac:dyDescent="0.35"/>
  <cols>
    <col min="1" max="1" width="3.453125" customWidth="1"/>
    <col min="2" max="2" width="5" customWidth="1"/>
    <col min="3" max="3" width="18" style="21" customWidth="1"/>
    <col min="4" max="15" width="6" customWidth="1"/>
    <col min="16" max="16" width="14.26953125" customWidth="1"/>
    <col min="17" max="17" width="8.453125" customWidth="1"/>
    <col min="18" max="18" width="16.54296875" customWidth="1"/>
    <col min="19" max="19" width="3.26953125" customWidth="1"/>
    <col min="20" max="20" width="16.26953125" customWidth="1"/>
  </cols>
  <sheetData>
    <row r="1" spans="1:21" ht="21" customHeight="1" x14ac:dyDescent="0.55000000000000004">
      <c r="A1" s="51" t="s">
        <v>0</v>
      </c>
      <c r="B1" s="51"/>
      <c r="C1" s="51"/>
      <c r="D1" s="52"/>
      <c r="E1" s="52"/>
      <c r="F1" s="1"/>
      <c r="G1" s="1"/>
      <c r="H1" s="2"/>
      <c r="I1" s="2"/>
      <c r="J1" s="2"/>
      <c r="K1" s="2"/>
      <c r="L1" s="2"/>
      <c r="M1" s="2"/>
      <c r="N1" s="2"/>
      <c r="O1" s="2"/>
      <c r="P1" s="1"/>
      <c r="Q1" s="1"/>
      <c r="R1" s="1"/>
    </row>
    <row r="2" spans="1:21" ht="3.5" customHeight="1" x14ac:dyDescent="0.3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</row>
    <row r="3" spans="1:21" ht="23.5" x14ac:dyDescent="0.55000000000000004">
      <c r="A3" s="1"/>
      <c r="B3" s="52">
        <v>2023</v>
      </c>
      <c r="C3" s="52"/>
      <c r="D3" s="1"/>
      <c r="E3" s="3"/>
      <c r="F3" s="1"/>
      <c r="G3" s="1"/>
      <c r="H3" s="1"/>
      <c r="I3" s="1"/>
      <c r="J3" s="1"/>
      <c r="K3" s="4" t="s">
        <v>1</v>
      </c>
      <c r="L3" s="1"/>
      <c r="M3" s="5" t="s">
        <v>2</v>
      </c>
      <c r="N3" s="1"/>
      <c r="O3" s="22" t="s">
        <v>3</v>
      </c>
      <c r="P3" s="1"/>
      <c r="Q3" s="1"/>
      <c r="R3" s="6">
        <f>SUM(_2023[Tổng])</f>
        <v>6100000</v>
      </c>
    </row>
    <row r="4" spans="1:21" ht="6" customHeight="1" x14ac:dyDescent="0.35">
      <c r="A4" s="14"/>
      <c r="B4" s="15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9"/>
    </row>
    <row r="5" spans="1:21" x14ac:dyDescent="0.35">
      <c r="A5" s="16"/>
      <c r="B5" s="7" t="s">
        <v>4</v>
      </c>
      <c r="C5" s="12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  <c r="R5" s="8" t="s">
        <v>20</v>
      </c>
      <c r="S5" s="9"/>
      <c r="T5" s="9"/>
      <c r="U5" s="9"/>
    </row>
    <row r="6" spans="1:21" x14ac:dyDescent="0.35">
      <c r="A6" s="14"/>
      <c r="B6" s="17">
        <f t="shared" ref="B6:B53" si="0">ROW()-5</f>
        <v>1</v>
      </c>
      <c r="C6" s="12" t="s">
        <v>21</v>
      </c>
      <c r="D6" s="23"/>
      <c r="E6" s="23"/>
      <c r="F6" s="23"/>
      <c r="G6" s="23"/>
      <c r="H6" s="23"/>
      <c r="I6" s="23"/>
      <c r="J6" s="23"/>
      <c r="K6" s="23"/>
      <c r="L6" s="23" t="s">
        <v>3</v>
      </c>
      <c r="M6" s="23" t="s">
        <v>3</v>
      </c>
      <c r="N6" s="23" t="s">
        <v>3</v>
      </c>
      <c r="O6" s="23" t="s">
        <v>3</v>
      </c>
      <c r="P6" s="10"/>
      <c r="Q6" s="10">
        <f t="shared" ref="Q6:Q53" si="1">COUNTIF(D6:O6,"x")</f>
        <v>4</v>
      </c>
      <c r="R6" s="11">
        <f t="shared" ref="R6:R53" si="2">Q6*50000+P6</f>
        <v>200000</v>
      </c>
      <c r="S6" s="9"/>
      <c r="T6" s="9"/>
      <c r="U6" s="9"/>
    </row>
    <row r="7" spans="1:21" x14ac:dyDescent="0.35">
      <c r="A7" s="14"/>
      <c r="B7" s="17">
        <f t="shared" si="0"/>
        <v>2</v>
      </c>
      <c r="C7" s="12" t="s">
        <v>22</v>
      </c>
      <c r="D7" s="23"/>
      <c r="E7" s="23"/>
      <c r="F7" s="23"/>
      <c r="G7" s="23"/>
      <c r="H7" s="23"/>
      <c r="I7" s="23"/>
      <c r="J7" s="23"/>
      <c r="K7" s="23"/>
      <c r="L7" s="23" t="s">
        <v>3</v>
      </c>
      <c r="M7" s="23" t="s">
        <v>3</v>
      </c>
      <c r="N7" s="23" t="s">
        <v>3</v>
      </c>
      <c r="O7" s="23" t="s">
        <v>3</v>
      </c>
      <c r="P7" s="10"/>
      <c r="Q7" s="10">
        <f t="shared" si="1"/>
        <v>4</v>
      </c>
      <c r="R7" s="11">
        <f t="shared" si="2"/>
        <v>200000</v>
      </c>
      <c r="S7" s="9"/>
      <c r="T7" s="9"/>
      <c r="U7" s="9"/>
    </row>
    <row r="8" spans="1:21" x14ac:dyDescent="0.35">
      <c r="A8" s="14"/>
      <c r="B8" s="17">
        <f t="shared" si="0"/>
        <v>3</v>
      </c>
      <c r="C8" s="12" t="s">
        <v>23</v>
      </c>
      <c r="D8" s="23"/>
      <c r="E8" s="23"/>
      <c r="F8" s="23"/>
      <c r="G8" s="23"/>
      <c r="H8" s="23"/>
      <c r="I8" s="23"/>
      <c r="J8" s="23"/>
      <c r="K8" s="23"/>
      <c r="L8" s="23" t="s">
        <v>3</v>
      </c>
      <c r="M8" s="23" t="s">
        <v>3</v>
      </c>
      <c r="N8" s="23" t="s">
        <v>3</v>
      </c>
      <c r="O8" s="23" t="s">
        <v>3</v>
      </c>
      <c r="P8" s="10"/>
      <c r="Q8" s="10">
        <f t="shared" si="1"/>
        <v>4</v>
      </c>
      <c r="R8" s="11">
        <f t="shared" si="2"/>
        <v>200000</v>
      </c>
      <c r="S8" s="9"/>
      <c r="T8" s="9"/>
      <c r="U8" s="9"/>
    </row>
    <row r="9" spans="1:21" x14ac:dyDescent="0.35">
      <c r="A9" s="14"/>
      <c r="B9" s="17">
        <f t="shared" si="0"/>
        <v>4</v>
      </c>
      <c r="C9" s="12" t="s">
        <v>24</v>
      </c>
      <c r="D9" s="23"/>
      <c r="E9" s="23"/>
      <c r="F9" s="23"/>
      <c r="G9" s="23"/>
      <c r="H9" s="23"/>
      <c r="I9" s="23"/>
      <c r="J9" s="23"/>
      <c r="K9" s="23"/>
      <c r="L9" s="23" t="s">
        <v>3</v>
      </c>
      <c r="M9" s="23" t="s">
        <v>3</v>
      </c>
      <c r="N9" s="23" t="s">
        <v>3</v>
      </c>
      <c r="O9" s="23" t="s">
        <v>3</v>
      </c>
      <c r="P9" s="10"/>
      <c r="Q9" s="10">
        <f t="shared" si="1"/>
        <v>4</v>
      </c>
      <c r="R9" s="11">
        <f t="shared" si="2"/>
        <v>200000</v>
      </c>
      <c r="S9" s="9"/>
      <c r="T9" s="9"/>
      <c r="U9" s="9"/>
    </row>
    <row r="10" spans="1:21" x14ac:dyDescent="0.35">
      <c r="A10" s="14"/>
      <c r="B10" s="17">
        <f t="shared" si="0"/>
        <v>5</v>
      </c>
      <c r="C10" s="12" t="s">
        <v>25</v>
      </c>
      <c r="D10" s="23"/>
      <c r="E10" s="23"/>
      <c r="F10" s="23"/>
      <c r="G10" s="23"/>
      <c r="H10" s="23"/>
      <c r="I10" s="23"/>
      <c r="J10" s="23"/>
      <c r="K10" s="23"/>
      <c r="L10" s="23" t="s">
        <v>3</v>
      </c>
      <c r="M10" s="23" t="s">
        <v>3</v>
      </c>
      <c r="N10" s="23" t="s">
        <v>3</v>
      </c>
      <c r="O10" s="23" t="s">
        <v>3</v>
      </c>
      <c r="P10" s="10"/>
      <c r="Q10" s="10">
        <f t="shared" si="1"/>
        <v>4</v>
      </c>
      <c r="R10" s="11">
        <f t="shared" si="2"/>
        <v>200000</v>
      </c>
      <c r="S10" s="9"/>
      <c r="T10" s="9"/>
      <c r="U10" s="9"/>
    </row>
    <row r="11" spans="1:21" x14ac:dyDescent="0.35">
      <c r="A11" s="14"/>
      <c r="B11" s="17">
        <f t="shared" si="0"/>
        <v>6</v>
      </c>
      <c r="C11" s="12" t="s">
        <v>26</v>
      </c>
      <c r="D11" s="23"/>
      <c r="E11" s="23"/>
      <c r="F11" s="23"/>
      <c r="G11" s="23"/>
      <c r="H11" s="23"/>
      <c r="I11" s="23"/>
      <c r="J11" s="23"/>
      <c r="K11" s="23"/>
      <c r="L11" s="23" t="s">
        <v>3</v>
      </c>
      <c r="M11" s="23" t="s">
        <v>3</v>
      </c>
      <c r="N11" s="23" t="s">
        <v>3</v>
      </c>
      <c r="O11" s="23" t="s">
        <v>3</v>
      </c>
      <c r="P11" s="10"/>
      <c r="Q11" s="10">
        <f t="shared" si="1"/>
        <v>4</v>
      </c>
      <c r="R11" s="11">
        <f t="shared" si="2"/>
        <v>200000</v>
      </c>
      <c r="S11" s="9"/>
      <c r="T11" s="9"/>
      <c r="U11" s="9"/>
    </row>
    <row r="12" spans="1:21" x14ac:dyDescent="0.35">
      <c r="A12" s="14"/>
      <c r="B12" s="18">
        <f t="shared" si="0"/>
        <v>7</v>
      </c>
      <c r="C12" s="12" t="s">
        <v>27</v>
      </c>
      <c r="D12" s="23"/>
      <c r="E12" s="23"/>
      <c r="F12" s="23"/>
      <c r="G12" s="23"/>
      <c r="H12" s="23"/>
      <c r="I12" s="23"/>
      <c r="J12" s="23"/>
      <c r="K12" s="23"/>
      <c r="L12" s="23" t="s">
        <v>3</v>
      </c>
      <c r="M12" s="23"/>
      <c r="N12" s="23"/>
      <c r="O12" s="23"/>
      <c r="P12" s="12"/>
      <c r="Q12" s="12">
        <f t="shared" si="1"/>
        <v>1</v>
      </c>
      <c r="R12" s="13">
        <f t="shared" si="2"/>
        <v>50000</v>
      </c>
      <c r="S12" s="9"/>
      <c r="T12" s="9"/>
      <c r="U12" s="9"/>
    </row>
    <row r="13" spans="1:21" x14ac:dyDescent="0.35">
      <c r="A13" s="14"/>
      <c r="B13" s="17">
        <f t="shared" si="0"/>
        <v>8</v>
      </c>
      <c r="C13" s="12" t="s">
        <v>28</v>
      </c>
      <c r="D13" s="23"/>
      <c r="E13" s="23"/>
      <c r="F13" s="23"/>
      <c r="G13" s="23"/>
      <c r="H13" s="23"/>
      <c r="I13" s="23"/>
      <c r="J13" s="23"/>
      <c r="K13" s="23"/>
      <c r="L13" s="23" t="s">
        <v>3</v>
      </c>
      <c r="M13" s="23" t="s">
        <v>3</v>
      </c>
      <c r="N13" s="23" t="s">
        <v>3</v>
      </c>
      <c r="O13" s="23" t="s">
        <v>3</v>
      </c>
      <c r="P13" s="10"/>
      <c r="Q13" s="10">
        <f t="shared" si="1"/>
        <v>4</v>
      </c>
      <c r="R13" s="11">
        <f t="shared" si="2"/>
        <v>200000</v>
      </c>
      <c r="S13" s="9"/>
      <c r="T13" s="9"/>
      <c r="U13" s="9"/>
    </row>
    <row r="14" spans="1:21" x14ac:dyDescent="0.35">
      <c r="A14" s="14"/>
      <c r="B14" s="17">
        <f t="shared" si="0"/>
        <v>9</v>
      </c>
      <c r="C14" s="12" t="s">
        <v>29</v>
      </c>
      <c r="D14" s="23"/>
      <c r="E14" s="23"/>
      <c r="F14" s="23"/>
      <c r="G14" s="23"/>
      <c r="H14" s="23"/>
      <c r="I14" s="23"/>
      <c r="J14" s="23"/>
      <c r="K14" s="23"/>
      <c r="L14" s="23" t="s">
        <v>3</v>
      </c>
      <c r="M14" s="23" t="s">
        <v>3</v>
      </c>
      <c r="N14" s="23" t="s">
        <v>3</v>
      </c>
      <c r="O14" s="23" t="s">
        <v>3</v>
      </c>
      <c r="P14" s="10"/>
      <c r="Q14" s="10">
        <f t="shared" si="1"/>
        <v>4</v>
      </c>
      <c r="R14" s="11">
        <f t="shared" si="2"/>
        <v>200000</v>
      </c>
      <c r="S14" s="9"/>
      <c r="T14" s="9"/>
      <c r="U14" s="9"/>
    </row>
    <row r="15" spans="1:21" x14ac:dyDescent="0.35">
      <c r="A15" s="14"/>
      <c r="B15" s="17">
        <f t="shared" si="0"/>
        <v>10</v>
      </c>
      <c r="C15" s="12" t="s">
        <v>30</v>
      </c>
      <c r="D15" s="23"/>
      <c r="E15" s="23"/>
      <c r="F15" s="23"/>
      <c r="G15" s="23"/>
      <c r="H15" s="23"/>
      <c r="I15" s="23"/>
      <c r="J15" s="23"/>
      <c r="K15" s="23"/>
      <c r="L15" s="23" t="s">
        <v>3</v>
      </c>
      <c r="M15" s="23" t="s">
        <v>3</v>
      </c>
      <c r="N15" s="23" t="s">
        <v>3</v>
      </c>
      <c r="O15" s="23" t="s">
        <v>3</v>
      </c>
      <c r="P15" s="10"/>
      <c r="Q15" s="10">
        <f t="shared" si="1"/>
        <v>4</v>
      </c>
      <c r="R15" s="11">
        <f t="shared" si="2"/>
        <v>200000</v>
      </c>
      <c r="S15" s="9"/>
      <c r="T15" s="9"/>
      <c r="U15" s="9"/>
    </row>
    <row r="16" spans="1:21" x14ac:dyDescent="0.35">
      <c r="A16" s="14"/>
      <c r="B16" s="17">
        <f t="shared" si="0"/>
        <v>11</v>
      </c>
      <c r="C16" s="19" t="s">
        <v>31</v>
      </c>
      <c r="D16" s="23"/>
      <c r="E16" s="23"/>
      <c r="F16" s="23"/>
      <c r="G16" s="23"/>
      <c r="H16" s="23"/>
      <c r="I16" s="23"/>
      <c r="J16" s="23"/>
      <c r="K16" s="23"/>
      <c r="L16" s="23" t="s">
        <v>3</v>
      </c>
      <c r="M16" s="23" t="s">
        <v>3</v>
      </c>
      <c r="N16" s="23" t="s">
        <v>3</v>
      </c>
      <c r="O16" s="23" t="s">
        <v>3</v>
      </c>
      <c r="P16" s="10"/>
      <c r="Q16" s="10">
        <f t="shared" si="1"/>
        <v>4</v>
      </c>
      <c r="R16" s="11">
        <f t="shared" si="2"/>
        <v>200000</v>
      </c>
      <c r="S16" s="9"/>
      <c r="T16" s="9"/>
      <c r="U16" s="9"/>
    </row>
    <row r="17" spans="1:21" x14ac:dyDescent="0.35">
      <c r="A17" s="14"/>
      <c r="B17" s="17">
        <f t="shared" si="0"/>
        <v>12</v>
      </c>
      <c r="C17" s="12" t="s">
        <v>32</v>
      </c>
      <c r="D17" s="23"/>
      <c r="E17" s="23"/>
      <c r="F17" s="23"/>
      <c r="G17" s="23"/>
      <c r="H17" s="23"/>
      <c r="I17" s="23"/>
      <c r="J17" s="23"/>
      <c r="K17" s="23"/>
      <c r="L17" s="23" t="s">
        <v>3</v>
      </c>
      <c r="M17" s="23" t="s">
        <v>3</v>
      </c>
      <c r="N17" s="23" t="s">
        <v>3</v>
      </c>
      <c r="O17" s="23" t="s">
        <v>3</v>
      </c>
      <c r="P17" s="10"/>
      <c r="Q17" s="10">
        <f t="shared" si="1"/>
        <v>4</v>
      </c>
      <c r="R17" s="11">
        <f t="shared" si="2"/>
        <v>200000</v>
      </c>
      <c r="S17" s="9"/>
      <c r="T17" s="9"/>
      <c r="U17" s="9"/>
    </row>
    <row r="18" spans="1:21" x14ac:dyDescent="0.35">
      <c r="A18" s="14"/>
      <c r="B18" s="17">
        <f t="shared" si="0"/>
        <v>13</v>
      </c>
      <c r="C18" s="19" t="s">
        <v>33</v>
      </c>
      <c r="D18" s="23"/>
      <c r="E18" s="23"/>
      <c r="F18" s="23"/>
      <c r="G18" s="23"/>
      <c r="H18" s="23"/>
      <c r="I18" s="23"/>
      <c r="J18" s="23"/>
      <c r="K18" s="23"/>
      <c r="L18" s="23" t="s">
        <v>3</v>
      </c>
      <c r="M18" s="23"/>
      <c r="N18" s="23"/>
      <c r="O18" s="23"/>
      <c r="P18" s="10"/>
      <c r="Q18" s="10">
        <f t="shared" si="1"/>
        <v>1</v>
      </c>
      <c r="R18" s="11">
        <f t="shared" si="2"/>
        <v>50000</v>
      </c>
      <c r="S18" s="9"/>
      <c r="T18" s="9"/>
      <c r="U18" s="9"/>
    </row>
    <row r="19" spans="1:21" x14ac:dyDescent="0.35">
      <c r="A19" s="14"/>
      <c r="B19" s="17">
        <f t="shared" si="0"/>
        <v>14</v>
      </c>
      <c r="C19" s="12" t="s">
        <v>34</v>
      </c>
      <c r="D19" s="23"/>
      <c r="E19" s="23"/>
      <c r="F19" s="23"/>
      <c r="G19" s="23"/>
      <c r="H19" s="23"/>
      <c r="I19" s="23"/>
      <c r="J19" s="23"/>
      <c r="K19" s="23"/>
      <c r="L19" s="23" t="s">
        <v>3</v>
      </c>
      <c r="M19" s="23" t="s">
        <v>3</v>
      </c>
      <c r="N19" s="23" t="s">
        <v>3</v>
      </c>
      <c r="O19" s="23" t="s">
        <v>3</v>
      </c>
      <c r="P19" s="10"/>
      <c r="Q19" s="10">
        <f t="shared" si="1"/>
        <v>4</v>
      </c>
      <c r="R19" s="11">
        <f t="shared" si="2"/>
        <v>200000</v>
      </c>
      <c r="S19" s="9"/>
      <c r="T19" s="9"/>
      <c r="U19" s="9"/>
    </row>
    <row r="20" spans="1:21" x14ac:dyDescent="0.35">
      <c r="A20" s="14"/>
      <c r="B20" s="17">
        <f t="shared" si="0"/>
        <v>15</v>
      </c>
      <c r="C20" s="12" t="s">
        <v>35</v>
      </c>
      <c r="D20" s="23"/>
      <c r="E20" s="23"/>
      <c r="F20" s="23"/>
      <c r="G20" s="23"/>
      <c r="H20" s="23"/>
      <c r="I20" s="23"/>
      <c r="J20" s="23"/>
      <c r="K20" s="23"/>
      <c r="L20" s="23" t="s">
        <v>3</v>
      </c>
      <c r="M20" s="23" t="s">
        <v>3</v>
      </c>
      <c r="N20" s="23" t="s">
        <v>3</v>
      </c>
      <c r="O20" s="23" t="s">
        <v>3</v>
      </c>
      <c r="P20" s="10"/>
      <c r="Q20" s="10">
        <f t="shared" si="1"/>
        <v>4</v>
      </c>
      <c r="R20" s="11">
        <f t="shared" si="2"/>
        <v>200000</v>
      </c>
      <c r="S20" s="9"/>
      <c r="T20" s="9"/>
      <c r="U20" s="9"/>
    </row>
    <row r="21" spans="1:21" x14ac:dyDescent="0.35">
      <c r="A21" s="14"/>
      <c r="B21" s="17">
        <f t="shared" si="0"/>
        <v>16</v>
      </c>
      <c r="C21" s="12" t="s">
        <v>36</v>
      </c>
      <c r="D21" s="23"/>
      <c r="E21" s="23"/>
      <c r="F21" s="23"/>
      <c r="G21" s="23"/>
      <c r="H21" s="23"/>
      <c r="I21" s="23"/>
      <c r="J21" s="23"/>
      <c r="K21" s="23"/>
      <c r="L21" s="23" t="s">
        <v>3</v>
      </c>
      <c r="M21" s="23" t="s">
        <v>3</v>
      </c>
      <c r="N21" s="23" t="s">
        <v>3</v>
      </c>
      <c r="O21" s="23" t="s">
        <v>3</v>
      </c>
      <c r="P21" s="10"/>
      <c r="Q21" s="10">
        <f t="shared" si="1"/>
        <v>4</v>
      </c>
      <c r="R21" s="11">
        <f t="shared" si="2"/>
        <v>200000</v>
      </c>
      <c r="S21" s="9"/>
      <c r="T21" s="9"/>
      <c r="U21" s="9"/>
    </row>
    <row r="22" spans="1:21" x14ac:dyDescent="0.35">
      <c r="A22" s="14"/>
      <c r="B22" s="17">
        <f t="shared" si="0"/>
        <v>17</v>
      </c>
      <c r="C22" s="19" t="s">
        <v>37</v>
      </c>
      <c r="D22" s="23"/>
      <c r="E22" s="23"/>
      <c r="F22" s="23"/>
      <c r="G22" s="23"/>
      <c r="H22" s="23"/>
      <c r="I22" s="23"/>
      <c r="J22" s="23"/>
      <c r="K22" s="23"/>
      <c r="L22" s="23" t="s">
        <v>3</v>
      </c>
      <c r="M22" s="23" t="s">
        <v>3</v>
      </c>
      <c r="N22" s="23" t="s">
        <v>3</v>
      </c>
      <c r="O22" s="23" t="s">
        <v>3</v>
      </c>
      <c r="P22" s="10"/>
      <c r="Q22" s="10">
        <f t="shared" si="1"/>
        <v>4</v>
      </c>
      <c r="R22" s="11">
        <f t="shared" si="2"/>
        <v>200000</v>
      </c>
      <c r="S22" s="9"/>
      <c r="T22" s="9"/>
      <c r="U22" s="9"/>
    </row>
    <row r="23" spans="1:21" x14ac:dyDescent="0.35">
      <c r="A23" s="14"/>
      <c r="B23" s="17">
        <f t="shared" si="0"/>
        <v>18</v>
      </c>
      <c r="C23" s="19" t="s">
        <v>38</v>
      </c>
      <c r="D23" s="23"/>
      <c r="E23" s="23"/>
      <c r="F23" s="23"/>
      <c r="G23" s="23"/>
      <c r="H23" s="23"/>
      <c r="I23" s="23"/>
      <c r="J23" s="23"/>
      <c r="K23" s="23"/>
      <c r="L23" s="23" t="s">
        <v>3</v>
      </c>
      <c r="M23" s="23" t="s">
        <v>3</v>
      </c>
      <c r="N23" s="23" t="s">
        <v>3</v>
      </c>
      <c r="O23" s="23" t="s">
        <v>3</v>
      </c>
      <c r="P23" s="10"/>
      <c r="Q23" s="10">
        <f t="shared" si="1"/>
        <v>4</v>
      </c>
      <c r="R23" s="11">
        <f t="shared" si="2"/>
        <v>200000</v>
      </c>
      <c r="S23" s="9"/>
      <c r="T23" s="9"/>
      <c r="U23" s="9"/>
    </row>
    <row r="24" spans="1:21" x14ac:dyDescent="0.35">
      <c r="A24" s="14"/>
      <c r="B24" s="17">
        <f t="shared" si="0"/>
        <v>19</v>
      </c>
      <c r="C24" s="19" t="s">
        <v>39</v>
      </c>
      <c r="D24" s="23"/>
      <c r="E24" s="23"/>
      <c r="F24" s="23"/>
      <c r="G24" s="23"/>
      <c r="H24" s="23"/>
      <c r="I24" s="23"/>
      <c r="J24" s="23"/>
      <c r="K24" s="23"/>
      <c r="L24" s="23" t="s">
        <v>3</v>
      </c>
      <c r="M24" s="23" t="s">
        <v>3</v>
      </c>
      <c r="N24" s="23" t="s">
        <v>3</v>
      </c>
      <c r="O24" s="23" t="s">
        <v>3</v>
      </c>
      <c r="P24" s="10"/>
      <c r="Q24" s="10">
        <f t="shared" si="1"/>
        <v>4</v>
      </c>
      <c r="R24" s="11">
        <f t="shared" si="2"/>
        <v>200000</v>
      </c>
      <c r="S24" s="9"/>
      <c r="T24" s="9"/>
      <c r="U24" s="9"/>
    </row>
    <row r="25" spans="1:21" x14ac:dyDescent="0.35">
      <c r="A25" s="14"/>
      <c r="B25" s="17">
        <f t="shared" si="0"/>
        <v>20</v>
      </c>
      <c r="C25" s="19" t="s">
        <v>40</v>
      </c>
      <c r="D25" s="23"/>
      <c r="E25" s="23"/>
      <c r="F25" s="23"/>
      <c r="G25" s="23"/>
      <c r="H25" s="23"/>
      <c r="I25" s="23"/>
      <c r="J25" s="23"/>
      <c r="K25" s="23"/>
      <c r="L25" s="23" t="s">
        <v>3</v>
      </c>
      <c r="M25" s="23" t="s">
        <v>3</v>
      </c>
      <c r="N25" s="23" t="s">
        <v>3</v>
      </c>
      <c r="O25" s="23" t="s">
        <v>3</v>
      </c>
      <c r="P25" s="10"/>
      <c r="Q25" s="10">
        <f t="shared" si="1"/>
        <v>4</v>
      </c>
      <c r="R25" s="11">
        <f t="shared" si="2"/>
        <v>200000</v>
      </c>
      <c r="S25" s="9"/>
      <c r="T25" s="9"/>
      <c r="U25" s="9"/>
    </row>
    <row r="26" spans="1:21" x14ac:dyDescent="0.35">
      <c r="A26" s="14"/>
      <c r="B26" s="17">
        <f t="shared" si="0"/>
        <v>21</v>
      </c>
      <c r="C26" s="19" t="s">
        <v>41</v>
      </c>
      <c r="D26" s="23"/>
      <c r="E26" s="23"/>
      <c r="F26" s="23"/>
      <c r="G26" s="23"/>
      <c r="H26" s="23"/>
      <c r="I26" s="23"/>
      <c r="J26" s="23"/>
      <c r="K26" s="23"/>
      <c r="L26" s="23" t="s">
        <v>3</v>
      </c>
      <c r="M26" s="23" t="s">
        <v>3</v>
      </c>
      <c r="N26" s="23" t="s">
        <v>3</v>
      </c>
      <c r="O26" s="23" t="s">
        <v>3</v>
      </c>
      <c r="P26" s="10"/>
      <c r="Q26" s="10">
        <f t="shared" si="1"/>
        <v>4</v>
      </c>
      <c r="R26" s="11">
        <f t="shared" si="2"/>
        <v>200000</v>
      </c>
      <c r="S26" s="9"/>
      <c r="T26" s="9"/>
      <c r="U26" s="9"/>
    </row>
    <row r="27" spans="1:21" x14ac:dyDescent="0.35">
      <c r="A27" s="14"/>
      <c r="B27" s="17">
        <f t="shared" si="0"/>
        <v>22</v>
      </c>
      <c r="C27" s="19" t="s">
        <v>42</v>
      </c>
      <c r="D27" s="23"/>
      <c r="E27" s="23"/>
      <c r="F27" s="23"/>
      <c r="G27" s="23"/>
      <c r="H27" s="23"/>
      <c r="I27" s="23"/>
      <c r="J27" s="23"/>
      <c r="K27" s="23"/>
      <c r="L27" s="23" t="s">
        <v>3</v>
      </c>
      <c r="M27" s="23" t="s">
        <v>3</v>
      </c>
      <c r="N27" s="23" t="s">
        <v>3</v>
      </c>
      <c r="O27" s="23" t="s">
        <v>3</v>
      </c>
      <c r="P27" s="10"/>
      <c r="Q27" s="10">
        <f t="shared" si="1"/>
        <v>4</v>
      </c>
      <c r="R27" s="11">
        <f t="shared" si="2"/>
        <v>200000</v>
      </c>
      <c r="S27" s="9"/>
      <c r="T27" s="9"/>
      <c r="U27" s="9"/>
    </row>
    <row r="28" spans="1:21" x14ac:dyDescent="0.35">
      <c r="A28" s="14"/>
      <c r="B28" s="17">
        <f t="shared" si="0"/>
        <v>23</v>
      </c>
      <c r="C28" s="19" t="s">
        <v>43</v>
      </c>
      <c r="D28" s="23"/>
      <c r="E28" s="23"/>
      <c r="F28" s="23"/>
      <c r="G28" s="23"/>
      <c r="H28" s="23"/>
      <c r="I28" s="23"/>
      <c r="J28" s="23"/>
      <c r="K28" s="23"/>
      <c r="L28" s="23" t="s">
        <v>3</v>
      </c>
      <c r="M28" s="23" t="s">
        <v>3</v>
      </c>
      <c r="N28" s="23" t="s">
        <v>3</v>
      </c>
      <c r="O28" s="23" t="s">
        <v>3</v>
      </c>
      <c r="P28" s="10"/>
      <c r="Q28" s="10">
        <f t="shared" si="1"/>
        <v>4</v>
      </c>
      <c r="R28" s="11">
        <f t="shared" si="2"/>
        <v>200000</v>
      </c>
      <c r="S28" s="9"/>
      <c r="T28" s="9"/>
      <c r="U28" s="9"/>
    </row>
    <row r="29" spans="1:21" x14ac:dyDescent="0.35">
      <c r="A29" s="14"/>
      <c r="B29" s="17">
        <f t="shared" si="0"/>
        <v>24</v>
      </c>
      <c r="C29" s="19" t="s">
        <v>44</v>
      </c>
      <c r="D29" s="23"/>
      <c r="E29" s="23"/>
      <c r="F29" s="23"/>
      <c r="G29" s="23"/>
      <c r="H29" s="23"/>
      <c r="I29" s="23"/>
      <c r="J29" s="23"/>
      <c r="K29" s="23"/>
      <c r="L29" s="23" t="s">
        <v>3</v>
      </c>
      <c r="M29" s="23" t="s">
        <v>3</v>
      </c>
      <c r="N29" s="23" t="s">
        <v>3</v>
      </c>
      <c r="O29" s="23" t="s">
        <v>3</v>
      </c>
      <c r="P29" s="10"/>
      <c r="Q29" s="10">
        <f t="shared" si="1"/>
        <v>4</v>
      </c>
      <c r="R29" s="11">
        <f t="shared" si="2"/>
        <v>200000</v>
      </c>
      <c r="S29" s="9"/>
      <c r="T29" s="9"/>
      <c r="U29" s="9"/>
    </row>
    <row r="30" spans="1:21" x14ac:dyDescent="0.35">
      <c r="A30" s="14"/>
      <c r="B30" s="17">
        <f t="shared" si="0"/>
        <v>25</v>
      </c>
      <c r="C30" s="19" t="s">
        <v>45</v>
      </c>
      <c r="D30" s="23"/>
      <c r="E30" s="23"/>
      <c r="F30" s="23"/>
      <c r="G30" s="23"/>
      <c r="H30" s="23"/>
      <c r="I30" s="23"/>
      <c r="J30" s="23"/>
      <c r="K30" s="23"/>
      <c r="L30" s="23" t="s">
        <v>3</v>
      </c>
      <c r="M30" s="23" t="s">
        <v>3</v>
      </c>
      <c r="N30" s="23" t="s">
        <v>3</v>
      </c>
      <c r="O30" s="23" t="s">
        <v>3</v>
      </c>
      <c r="P30" s="10"/>
      <c r="Q30" s="10">
        <f t="shared" si="1"/>
        <v>4</v>
      </c>
      <c r="R30" s="11">
        <f t="shared" si="2"/>
        <v>200000</v>
      </c>
      <c r="S30" s="9"/>
      <c r="T30" s="9"/>
      <c r="U30" s="9"/>
    </row>
    <row r="31" spans="1:21" x14ac:dyDescent="0.35">
      <c r="A31" s="14"/>
      <c r="B31" s="17">
        <f t="shared" si="0"/>
        <v>26</v>
      </c>
      <c r="C31" s="12" t="s">
        <v>46</v>
      </c>
      <c r="D31" s="23"/>
      <c r="E31" s="23"/>
      <c r="F31" s="23"/>
      <c r="G31" s="23"/>
      <c r="H31" s="23"/>
      <c r="I31" s="23"/>
      <c r="J31" s="23"/>
      <c r="K31" s="23"/>
      <c r="L31" s="23" t="s">
        <v>3</v>
      </c>
      <c r="M31" s="23" t="s">
        <v>3</v>
      </c>
      <c r="N31" s="23" t="s">
        <v>3</v>
      </c>
      <c r="O31" s="23" t="s">
        <v>3</v>
      </c>
      <c r="P31" s="12"/>
      <c r="Q31" s="12">
        <f t="shared" si="1"/>
        <v>4</v>
      </c>
      <c r="R31" s="13">
        <f t="shared" si="2"/>
        <v>200000</v>
      </c>
      <c r="S31" s="9"/>
      <c r="T31" s="9"/>
      <c r="U31" s="9"/>
    </row>
    <row r="32" spans="1:21" x14ac:dyDescent="0.35">
      <c r="A32" s="14"/>
      <c r="B32" s="17">
        <f t="shared" si="0"/>
        <v>27</v>
      </c>
      <c r="C32" s="12" t="s">
        <v>47</v>
      </c>
      <c r="D32" s="23"/>
      <c r="E32" s="23"/>
      <c r="F32" s="23"/>
      <c r="G32" s="23"/>
      <c r="H32" s="23"/>
      <c r="I32" s="23"/>
      <c r="J32" s="23"/>
      <c r="K32" s="23"/>
      <c r="L32" s="23" t="s">
        <v>3</v>
      </c>
      <c r="M32" s="23" t="s">
        <v>3</v>
      </c>
      <c r="N32" s="23" t="s">
        <v>3</v>
      </c>
      <c r="O32" s="23" t="s">
        <v>3</v>
      </c>
      <c r="P32" s="12"/>
      <c r="Q32" s="12">
        <f t="shared" si="1"/>
        <v>4</v>
      </c>
      <c r="R32" s="13">
        <f t="shared" si="2"/>
        <v>200000</v>
      </c>
      <c r="S32" s="9"/>
      <c r="T32" s="9"/>
      <c r="U32" s="9"/>
    </row>
    <row r="33" spans="1:19" x14ac:dyDescent="0.35">
      <c r="A33" s="14"/>
      <c r="B33" s="17">
        <f t="shared" si="0"/>
        <v>28</v>
      </c>
      <c r="C33" s="12" t="s">
        <v>48</v>
      </c>
      <c r="D33" s="23"/>
      <c r="E33" s="23"/>
      <c r="F33" s="23"/>
      <c r="G33" s="23"/>
      <c r="H33" s="23"/>
      <c r="I33" s="23"/>
      <c r="J33" s="23"/>
      <c r="K33" s="23"/>
      <c r="L33" s="23" t="s">
        <v>3</v>
      </c>
      <c r="M33" s="23" t="s">
        <v>3</v>
      </c>
      <c r="N33" s="23" t="s">
        <v>3</v>
      </c>
      <c r="O33" s="23" t="s">
        <v>3</v>
      </c>
      <c r="P33" s="12"/>
      <c r="Q33" s="12">
        <f t="shared" si="1"/>
        <v>4</v>
      </c>
      <c r="R33" s="13">
        <f t="shared" si="2"/>
        <v>200000</v>
      </c>
      <c r="S33" s="9"/>
    </row>
    <row r="34" spans="1:19" x14ac:dyDescent="0.35">
      <c r="A34" s="14"/>
      <c r="B34" s="17">
        <f t="shared" si="0"/>
        <v>29</v>
      </c>
      <c r="C34" s="12" t="s">
        <v>49</v>
      </c>
      <c r="D34" s="23"/>
      <c r="E34" s="23"/>
      <c r="F34" s="23"/>
      <c r="G34" s="23"/>
      <c r="H34" s="23"/>
      <c r="I34" s="23"/>
      <c r="J34" s="23"/>
      <c r="K34" s="23"/>
      <c r="L34" s="23" t="s">
        <v>3</v>
      </c>
      <c r="M34" s="23" t="s">
        <v>3</v>
      </c>
      <c r="N34" s="23" t="s">
        <v>3</v>
      </c>
      <c r="O34" s="23" t="s">
        <v>3</v>
      </c>
      <c r="P34" s="12"/>
      <c r="Q34" s="12">
        <f t="shared" si="1"/>
        <v>4</v>
      </c>
      <c r="R34" s="13">
        <f t="shared" si="2"/>
        <v>200000</v>
      </c>
      <c r="S34" s="9"/>
    </row>
    <row r="35" spans="1:19" x14ac:dyDescent="0.35">
      <c r="A35" s="14"/>
      <c r="B35" s="17">
        <f t="shared" si="0"/>
        <v>30</v>
      </c>
      <c r="C35" s="12" t="s">
        <v>50</v>
      </c>
      <c r="D35" s="23"/>
      <c r="E35" s="23"/>
      <c r="F35" s="23"/>
      <c r="G35" s="23"/>
      <c r="H35" s="23"/>
      <c r="I35" s="23"/>
      <c r="J35" s="23"/>
      <c r="K35" s="23"/>
      <c r="L35" s="23" t="s">
        <v>3</v>
      </c>
      <c r="M35" s="23" t="s">
        <v>3</v>
      </c>
      <c r="N35" s="23" t="s">
        <v>3</v>
      </c>
      <c r="O35" s="23" t="s">
        <v>3</v>
      </c>
      <c r="P35" s="12"/>
      <c r="Q35" s="12">
        <f t="shared" si="1"/>
        <v>4</v>
      </c>
      <c r="R35" s="13">
        <f t="shared" si="2"/>
        <v>200000</v>
      </c>
      <c r="S35" s="9"/>
    </row>
    <row r="36" spans="1:19" x14ac:dyDescent="0.35">
      <c r="A36" s="14"/>
      <c r="B36" s="17">
        <f t="shared" si="0"/>
        <v>31</v>
      </c>
      <c r="C36" s="12" t="s">
        <v>51</v>
      </c>
      <c r="D36" s="23"/>
      <c r="E36" s="23"/>
      <c r="F36" s="23"/>
      <c r="G36" s="23"/>
      <c r="H36" s="23"/>
      <c r="I36" s="23"/>
      <c r="J36" s="23"/>
      <c r="K36" s="23"/>
      <c r="L36" s="23" t="s">
        <v>3</v>
      </c>
      <c r="M36" s="23" t="s">
        <v>3</v>
      </c>
      <c r="N36" s="23" t="s">
        <v>3</v>
      </c>
      <c r="O36" s="23" t="s">
        <v>3</v>
      </c>
      <c r="P36" s="12"/>
      <c r="Q36" s="12">
        <f t="shared" si="1"/>
        <v>4</v>
      </c>
      <c r="R36" s="13">
        <f t="shared" si="2"/>
        <v>200000</v>
      </c>
      <c r="S36" s="9"/>
    </row>
    <row r="37" spans="1:19" x14ac:dyDescent="0.35">
      <c r="A37" s="14"/>
      <c r="B37" s="17">
        <f t="shared" si="0"/>
        <v>32</v>
      </c>
      <c r="C37" s="12" t="s">
        <v>52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12">
        <v>200000</v>
      </c>
      <c r="Q37" s="12">
        <f t="shared" si="1"/>
        <v>0</v>
      </c>
      <c r="R37" s="13">
        <f t="shared" si="2"/>
        <v>200000</v>
      </c>
      <c r="S37" s="9"/>
    </row>
    <row r="38" spans="1:19" hidden="1" x14ac:dyDescent="0.35">
      <c r="A38" s="14"/>
      <c r="B38" s="17">
        <f t="shared" si="0"/>
        <v>33</v>
      </c>
      <c r="C38" s="1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12"/>
      <c r="Q38" s="12">
        <f t="shared" si="1"/>
        <v>0</v>
      </c>
      <c r="R38" s="13">
        <f t="shared" si="2"/>
        <v>0</v>
      </c>
      <c r="S38" s="9"/>
    </row>
    <row r="39" spans="1:19" hidden="1" x14ac:dyDescent="0.35">
      <c r="A39" s="14"/>
      <c r="B39" s="17">
        <f t="shared" si="0"/>
        <v>34</v>
      </c>
      <c r="C39" s="1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12"/>
      <c r="Q39" s="12">
        <f t="shared" si="1"/>
        <v>0</v>
      </c>
      <c r="R39" s="13">
        <f t="shared" si="2"/>
        <v>0</v>
      </c>
      <c r="S39" s="9"/>
    </row>
    <row r="40" spans="1:19" hidden="1" x14ac:dyDescent="0.35">
      <c r="A40" s="14"/>
      <c r="B40" s="17">
        <f t="shared" si="0"/>
        <v>35</v>
      </c>
      <c r="C40" s="1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12"/>
      <c r="Q40" s="12">
        <f t="shared" si="1"/>
        <v>0</v>
      </c>
      <c r="R40" s="13">
        <f t="shared" si="2"/>
        <v>0</v>
      </c>
      <c r="S40" s="9"/>
    </row>
    <row r="41" spans="1:19" hidden="1" x14ac:dyDescent="0.35">
      <c r="A41" s="14"/>
      <c r="B41" s="17">
        <f t="shared" si="0"/>
        <v>36</v>
      </c>
      <c r="C41" s="1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12"/>
      <c r="Q41" s="12">
        <f t="shared" si="1"/>
        <v>0</v>
      </c>
      <c r="R41" s="13">
        <f t="shared" si="2"/>
        <v>0</v>
      </c>
      <c r="S41" s="9"/>
    </row>
    <row r="42" spans="1:19" hidden="1" x14ac:dyDescent="0.35">
      <c r="A42" s="14"/>
      <c r="B42" s="17">
        <f t="shared" si="0"/>
        <v>37</v>
      </c>
      <c r="C42" s="1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12"/>
      <c r="Q42" s="12">
        <f t="shared" si="1"/>
        <v>0</v>
      </c>
      <c r="R42" s="13">
        <f t="shared" si="2"/>
        <v>0</v>
      </c>
      <c r="S42" s="9"/>
    </row>
    <row r="43" spans="1:19" hidden="1" x14ac:dyDescent="0.35">
      <c r="A43" s="14"/>
      <c r="B43" s="17">
        <f t="shared" si="0"/>
        <v>38</v>
      </c>
      <c r="C43" s="1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12"/>
      <c r="Q43" s="12">
        <f t="shared" si="1"/>
        <v>0</v>
      </c>
      <c r="R43" s="13">
        <f t="shared" si="2"/>
        <v>0</v>
      </c>
      <c r="S43" s="9"/>
    </row>
    <row r="44" spans="1:19" hidden="1" x14ac:dyDescent="0.35">
      <c r="A44" s="14"/>
      <c r="B44" s="17">
        <f t="shared" si="0"/>
        <v>39</v>
      </c>
      <c r="C44" s="1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12"/>
      <c r="Q44" s="12">
        <f t="shared" si="1"/>
        <v>0</v>
      </c>
      <c r="R44" s="13">
        <f t="shared" si="2"/>
        <v>0</v>
      </c>
      <c r="S44" s="9"/>
    </row>
    <row r="45" spans="1:19" hidden="1" x14ac:dyDescent="0.35">
      <c r="A45" s="14"/>
      <c r="B45" s="17">
        <f t="shared" si="0"/>
        <v>40</v>
      </c>
      <c r="C45" s="1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12"/>
      <c r="Q45" s="12">
        <f t="shared" si="1"/>
        <v>0</v>
      </c>
      <c r="R45" s="13">
        <f t="shared" si="2"/>
        <v>0</v>
      </c>
      <c r="S45" s="9"/>
    </row>
    <row r="46" spans="1:19" hidden="1" x14ac:dyDescent="0.35">
      <c r="A46" s="14"/>
      <c r="B46" s="17">
        <f t="shared" si="0"/>
        <v>41</v>
      </c>
      <c r="C46" s="1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12"/>
      <c r="Q46" s="12">
        <f t="shared" si="1"/>
        <v>0</v>
      </c>
      <c r="R46" s="13">
        <f t="shared" si="2"/>
        <v>0</v>
      </c>
      <c r="S46" s="9"/>
    </row>
    <row r="47" spans="1:19" hidden="1" x14ac:dyDescent="0.35">
      <c r="A47" s="14"/>
      <c r="B47" s="17">
        <f t="shared" si="0"/>
        <v>42</v>
      </c>
      <c r="C47" s="1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12"/>
      <c r="Q47" s="12">
        <f t="shared" si="1"/>
        <v>0</v>
      </c>
      <c r="R47" s="13">
        <f t="shared" si="2"/>
        <v>0</v>
      </c>
      <c r="S47" s="9"/>
    </row>
    <row r="48" spans="1:19" hidden="1" x14ac:dyDescent="0.35">
      <c r="A48" s="14"/>
      <c r="B48" s="17">
        <f t="shared" si="0"/>
        <v>43</v>
      </c>
      <c r="C48" s="1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12"/>
      <c r="Q48" s="12">
        <f t="shared" si="1"/>
        <v>0</v>
      </c>
      <c r="R48" s="13">
        <f t="shared" si="2"/>
        <v>0</v>
      </c>
      <c r="S48" s="9"/>
    </row>
    <row r="49" spans="1:19" hidden="1" x14ac:dyDescent="0.35">
      <c r="A49" s="14"/>
      <c r="B49" s="17">
        <f t="shared" si="0"/>
        <v>44</v>
      </c>
      <c r="C49" s="1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12"/>
      <c r="Q49" s="12">
        <f t="shared" si="1"/>
        <v>0</v>
      </c>
      <c r="R49" s="13">
        <f t="shared" si="2"/>
        <v>0</v>
      </c>
      <c r="S49" s="9"/>
    </row>
    <row r="50" spans="1:19" hidden="1" x14ac:dyDescent="0.35">
      <c r="A50" s="14"/>
      <c r="B50" s="17">
        <f t="shared" si="0"/>
        <v>45</v>
      </c>
      <c r="C50" s="1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12"/>
      <c r="Q50" s="12">
        <f t="shared" si="1"/>
        <v>0</v>
      </c>
      <c r="R50" s="13">
        <f t="shared" si="2"/>
        <v>0</v>
      </c>
      <c r="S50" s="9"/>
    </row>
    <row r="51" spans="1:19" hidden="1" x14ac:dyDescent="0.35">
      <c r="A51" s="14"/>
      <c r="B51" s="17">
        <f t="shared" si="0"/>
        <v>46</v>
      </c>
      <c r="C51" s="12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12"/>
      <c r="Q51" s="12">
        <f t="shared" si="1"/>
        <v>0</v>
      </c>
      <c r="R51" s="13">
        <f t="shared" si="2"/>
        <v>0</v>
      </c>
      <c r="S51" s="9"/>
    </row>
    <row r="52" spans="1:19" hidden="1" x14ac:dyDescent="0.35">
      <c r="A52" s="14"/>
      <c r="B52" s="17">
        <f t="shared" si="0"/>
        <v>47</v>
      </c>
      <c r="C52" s="12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12"/>
      <c r="Q52" s="12">
        <f t="shared" si="1"/>
        <v>0</v>
      </c>
      <c r="R52" s="13">
        <f t="shared" si="2"/>
        <v>0</v>
      </c>
      <c r="S52" s="9"/>
    </row>
    <row r="53" spans="1:19" hidden="1" x14ac:dyDescent="0.35">
      <c r="A53" s="14"/>
      <c r="B53" s="17">
        <f t="shared" si="0"/>
        <v>48</v>
      </c>
      <c r="C53" s="1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12"/>
      <c r="Q53" s="12">
        <f t="shared" si="1"/>
        <v>0</v>
      </c>
      <c r="R53" s="13">
        <f t="shared" si="2"/>
        <v>0</v>
      </c>
      <c r="S53" s="9"/>
    </row>
    <row r="54" spans="1:19" x14ac:dyDescent="0.35">
      <c r="A54" s="14"/>
      <c r="B54" s="9"/>
      <c r="C54" s="2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9"/>
      <c r="Q54" s="9"/>
      <c r="R54" s="9"/>
      <c r="S54" s="9"/>
    </row>
    <row r="55" spans="1:19" ht="3" customHeight="1" x14ac:dyDescent="0.3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</row>
  </sheetData>
  <mergeCells count="5">
    <mergeCell ref="A1:C1"/>
    <mergeCell ref="A55:S55"/>
    <mergeCell ref="A2:S2"/>
    <mergeCell ref="D1:E1"/>
    <mergeCell ref="B3:C3"/>
  </mergeCells>
  <dataValidations count="1">
    <dataValidation type="list" allowBlank="1" showInputMessage="1" sqref="D6:O53">
      <formula1>$O$3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workbookViewId="0">
      <pane xSplit="3" ySplit="5" topLeftCell="D24" activePane="bottomRight" state="frozen"/>
      <selection pane="topRight" activeCell="D1" sqref="D1"/>
      <selection pane="bottomLeft" activeCell="A6" sqref="A6"/>
      <selection pane="bottomRight" activeCell="H26" sqref="H26"/>
    </sheetView>
  </sheetViews>
  <sheetFormatPr defaultRowHeight="14.5" x14ac:dyDescent="0.35"/>
  <cols>
    <col min="1" max="1" width="3.453125" customWidth="1"/>
    <col min="2" max="2" width="5" customWidth="1"/>
    <col min="3" max="3" width="18" style="21" customWidth="1"/>
    <col min="4" max="15" width="6" customWidth="1"/>
    <col min="16" max="16" width="14.26953125" customWidth="1"/>
    <col min="17" max="17" width="8.453125" customWidth="1"/>
    <col min="18" max="18" width="16.54296875" customWidth="1"/>
    <col min="19" max="19" width="3.26953125" customWidth="1"/>
    <col min="20" max="20" width="16.26953125" customWidth="1"/>
  </cols>
  <sheetData>
    <row r="1" spans="1:21" ht="21" customHeight="1" x14ac:dyDescent="0.55000000000000004">
      <c r="A1" s="51" t="s">
        <v>0</v>
      </c>
      <c r="B1" s="51"/>
      <c r="C1" s="51"/>
      <c r="D1" s="52"/>
      <c r="E1" s="52"/>
      <c r="F1" s="1"/>
      <c r="G1" s="1"/>
      <c r="H1" s="2"/>
      <c r="I1" s="2"/>
      <c r="J1" s="2"/>
      <c r="K1" s="2"/>
      <c r="L1" s="2"/>
      <c r="M1" s="2"/>
      <c r="N1" s="2"/>
      <c r="O1" s="2"/>
      <c r="P1" s="1"/>
      <c r="Q1" s="1"/>
      <c r="R1" s="1"/>
    </row>
    <row r="2" spans="1:21" ht="3.5" customHeight="1" x14ac:dyDescent="0.3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</row>
    <row r="3" spans="1:21" ht="23.5" x14ac:dyDescent="0.55000000000000004">
      <c r="A3" s="1"/>
      <c r="B3" s="52">
        <v>2024</v>
      </c>
      <c r="C3" s="52"/>
      <c r="D3" s="1"/>
      <c r="E3" s="3"/>
      <c r="F3" s="1"/>
      <c r="G3" s="1"/>
      <c r="H3" s="1"/>
      <c r="I3" s="1"/>
      <c r="J3" s="1"/>
      <c r="K3" s="4" t="s">
        <v>1</v>
      </c>
      <c r="L3" s="1"/>
      <c r="M3" s="5" t="s">
        <v>2</v>
      </c>
      <c r="N3" s="1"/>
      <c r="O3" s="22" t="s">
        <v>3</v>
      </c>
      <c r="P3" s="1"/>
      <c r="Q3" s="1"/>
      <c r="R3" s="6">
        <f>SUM(_20234[Tổng])</f>
        <v>6250000</v>
      </c>
    </row>
    <row r="4" spans="1:21" ht="6" customHeight="1" x14ac:dyDescent="0.35">
      <c r="A4" s="14"/>
      <c r="B4" s="15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9"/>
    </row>
    <row r="5" spans="1:21" x14ac:dyDescent="0.35">
      <c r="A5" s="16"/>
      <c r="B5" s="7" t="s">
        <v>4</v>
      </c>
      <c r="C5" s="12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  <c r="R5" s="8" t="s">
        <v>20</v>
      </c>
      <c r="S5" s="9"/>
      <c r="T5" s="9"/>
      <c r="U5" s="9"/>
    </row>
    <row r="6" spans="1:21" x14ac:dyDescent="0.35">
      <c r="A6" s="14"/>
      <c r="B6" s="17">
        <f t="shared" ref="B6:B53" si="0">ROW()-5</f>
        <v>1</v>
      </c>
      <c r="C6" s="12" t="s">
        <v>21</v>
      </c>
      <c r="D6" s="23" t="s">
        <v>3</v>
      </c>
      <c r="E6" s="23" t="s">
        <v>3</v>
      </c>
      <c r="F6" s="23" t="s">
        <v>3</v>
      </c>
      <c r="G6" s="23" t="s">
        <v>3</v>
      </c>
      <c r="H6" s="23"/>
      <c r="I6" s="23"/>
      <c r="J6" s="23"/>
      <c r="K6" s="23"/>
      <c r="L6" s="23"/>
      <c r="M6" s="23"/>
      <c r="N6" s="23"/>
      <c r="O6" s="23"/>
      <c r="P6" s="10"/>
      <c r="Q6" s="10">
        <f t="shared" ref="Q6:Q53" si="1">COUNTIF(D6:O6,"x")</f>
        <v>4</v>
      </c>
      <c r="R6" s="11">
        <f t="shared" ref="R6:R53" si="2">Q6*50000+P6</f>
        <v>200000</v>
      </c>
      <c r="S6" s="9"/>
      <c r="T6" s="9"/>
      <c r="U6" s="9"/>
    </row>
    <row r="7" spans="1:21" x14ac:dyDescent="0.35">
      <c r="A7" s="14"/>
      <c r="B7" s="17">
        <f t="shared" si="0"/>
        <v>2</v>
      </c>
      <c r="C7" s="12" t="s">
        <v>22</v>
      </c>
      <c r="D7" s="23" t="s">
        <v>3</v>
      </c>
      <c r="E7" s="23" t="s">
        <v>3</v>
      </c>
      <c r="F7" s="23" t="s">
        <v>3</v>
      </c>
      <c r="G7" s="23" t="s">
        <v>3</v>
      </c>
      <c r="H7" s="23" t="s">
        <v>3</v>
      </c>
      <c r="I7" s="23" t="s">
        <v>3</v>
      </c>
      <c r="J7" s="23"/>
      <c r="K7" s="23"/>
      <c r="L7" s="23"/>
      <c r="M7" s="23"/>
      <c r="N7" s="23"/>
      <c r="O7" s="23"/>
      <c r="P7" s="10"/>
      <c r="Q7" s="10">
        <f t="shared" si="1"/>
        <v>6</v>
      </c>
      <c r="R7" s="11">
        <f t="shared" si="2"/>
        <v>300000</v>
      </c>
      <c r="S7" s="9"/>
      <c r="T7" s="9"/>
      <c r="U7" s="9"/>
    </row>
    <row r="8" spans="1:21" x14ac:dyDescent="0.35">
      <c r="A8" s="14"/>
      <c r="B8" s="17">
        <f t="shared" si="0"/>
        <v>3</v>
      </c>
      <c r="C8" s="12" t="s">
        <v>23</v>
      </c>
      <c r="D8" s="23" t="s">
        <v>3</v>
      </c>
      <c r="E8" s="23" t="s">
        <v>3</v>
      </c>
      <c r="F8" s="23" t="s">
        <v>3</v>
      </c>
      <c r="G8" s="23" t="s">
        <v>3</v>
      </c>
      <c r="H8" s="23"/>
      <c r="I8" s="23"/>
      <c r="J8" s="23"/>
      <c r="K8" s="23"/>
      <c r="L8" s="23"/>
      <c r="M8" s="23"/>
      <c r="N8" s="23"/>
      <c r="O8" s="23"/>
      <c r="P8" s="10"/>
      <c r="Q8" s="10">
        <f t="shared" si="1"/>
        <v>4</v>
      </c>
      <c r="R8" s="11">
        <f t="shared" si="2"/>
        <v>200000</v>
      </c>
      <c r="S8" s="9"/>
      <c r="T8" s="9"/>
      <c r="U8" s="9"/>
    </row>
    <row r="9" spans="1:21" x14ac:dyDescent="0.35">
      <c r="A9" s="14"/>
      <c r="B9" s="17">
        <f t="shared" si="0"/>
        <v>4</v>
      </c>
      <c r="C9" s="12" t="s">
        <v>24</v>
      </c>
      <c r="D9" s="23" t="s">
        <v>3</v>
      </c>
      <c r="E9" s="23" t="s">
        <v>3</v>
      </c>
      <c r="F9" s="23" t="s">
        <v>3</v>
      </c>
      <c r="G9" s="23" t="s">
        <v>3</v>
      </c>
      <c r="H9" s="23"/>
      <c r="I9" s="23"/>
      <c r="J9" s="23"/>
      <c r="K9" s="23"/>
      <c r="L9" s="23"/>
      <c r="M9" s="23"/>
      <c r="N9" s="23"/>
      <c r="O9" s="23"/>
      <c r="P9" s="10"/>
      <c r="Q9" s="10">
        <f t="shared" si="1"/>
        <v>4</v>
      </c>
      <c r="R9" s="11">
        <f t="shared" si="2"/>
        <v>200000</v>
      </c>
      <c r="S9" s="9"/>
      <c r="T9" s="9"/>
      <c r="U9" s="9"/>
    </row>
    <row r="10" spans="1:21" x14ac:dyDescent="0.35">
      <c r="A10" s="14"/>
      <c r="B10" s="17">
        <f t="shared" si="0"/>
        <v>5</v>
      </c>
      <c r="C10" s="12" t="s">
        <v>25</v>
      </c>
      <c r="D10" s="23" t="s">
        <v>3</v>
      </c>
      <c r="E10" s="23" t="s">
        <v>3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10"/>
      <c r="Q10" s="10">
        <f t="shared" si="1"/>
        <v>2</v>
      </c>
      <c r="R10" s="11">
        <f t="shared" si="2"/>
        <v>100000</v>
      </c>
      <c r="S10" s="9"/>
      <c r="T10" s="9"/>
      <c r="U10" s="9"/>
    </row>
    <row r="11" spans="1:21" x14ac:dyDescent="0.35">
      <c r="A11" s="14"/>
      <c r="B11" s="17">
        <f t="shared" si="0"/>
        <v>6</v>
      </c>
      <c r="C11" s="12" t="s">
        <v>26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10"/>
      <c r="Q11" s="10">
        <f t="shared" si="1"/>
        <v>0</v>
      </c>
      <c r="R11" s="11">
        <f t="shared" si="2"/>
        <v>0</v>
      </c>
      <c r="S11" s="9"/>
      <c r="T11" s="9"/>
      <c r="U11" s="9"/>
    </row>
    <row r="12" spans="1:21" x14ac:dyDescent="0.35">
      <c r="A12" s="14"/>
      <c r="B12" s="18">
        <f t="shared" si="0"/>
        <v>7</v>
      </c>
      <c r="C12" s="12" t="s">
        <v>27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12"/>
      <c r="Q12" s="12">
        <f t="shared" si="1"/>
        <v>0</v>
      </c>
      <c r="R12" s="13">
        <f t="shared" si="2"/>
        <v>0</v>
      </c>
      <c r="S12" s="9"/>
      <c r="T12" s="9"/>
      <c r="U12" s="9"/>
    </row>
    <row r="13" spans="1:21" x14ac:dyDescent="0.35">
      <c r="A13" s="14"/>
      <c r="B13" s="17">
        <f t="shared" si="0"/>
        <v>8</v>
      </c>
      <c r="C13" s="12" t="s">
        <v>28</v>
      </c>
      <c r="D13" s="23" t="s">
        <v>3</v>
      </c>
      <c r="E13" s="23" t="s">
        <v>3</v>
      </c>
      <c r="F13" s="23" t="s">
        <v>3</v>
      </c>
      <c r="G13" s="23" t="s">
        <v>3</v>
      </c>
      <c r="H13" s="23"/>
      <c r="I13" s="23"/>
      <c r="J13" s="23"/>
      <c r="K13" s="23"/>
      <c r="L13" s="23"/>
      <c r="M13" s="23"/>
      <c r="N13" s="23"/>
      <c r="O13" s="23"/>
      <c r="P13" s="10"/>
      <c r="Q13" s="10">
        <f t="shared" si="1"/>
        <v>4</v>
      </c>
      <c r="R13" s="11">
        <f t="shared" si="2"/>
        <v>200000</v>
      </c>
      <c r="S13" s="9"/>
      <c r="T13" s="9"/>
      <c r="U13" s="9"/>
    </row>
    <row r="14" spans="1:21" x14ac:dyDescent="0.35">
      <c r="A14" s="14"/>
      <c r="B14" s="17">
        <f t="shared" si="0"/>
        <v>9</v>
      </c>
      <c r="C14" s="12" t="s">
        <v>29</v>
      </c>
      <c r="D14" s="23" t="s">
        <v>3</v>
      </c>
      <c r="E14" s="23" t="s">
        <v>3</v>
      </c>
      <c r="F14" s="23" t="s">
        <v>3</v>
      </c>
      <c r="G14" s="23" t="s">
        <v>3</v>
      </c>
      <c r="H14" s="23"/>
      <c r="I14" s="23"/>
      <c r="J14" s="23"/>
      <c r="K14" s="23"/>
      <c r="L14" s="23"/>
      <c r="M14" s="23"/>
      <c r="N14" s="23"/>
      <c r="O14" s="23"/>
      <c r="P14" s="10"/>
      <c r="Q14" s="10">
        <f t="shared" si="1"/>
        <v>4</v>
      </c>
      <c r="R14" s="11">
        <f t="shared" si="2"/>
        <v>200000</v>
      </c>
      <c r="S14" s="9"/>
      <c r="T14" s="9"/>
      <c r="U14" s="9"/>
    </row>
    <row r="15" spans="1:21" x14ac:dyDescent="0.35">
      <c r="A15" s="14"/>
      <c r="B15" s="17">
        <f t="shared" si="0"/>
        <v>10</v>
      </c>
      <c r="C15" s="12" t="s">
        <v>30</v>
      </c>
      <c r="D15" s="23" t="s">
        <v>3</v>
      </c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10"/>
      <c r="Q15" s="10">
        <f t="shared" si="1"/>
        <v>1</v>
      </c>
      <c r="R15" s="11">
        <f t="shared" si="2"/>
        <v>50000</v>
      </c>
      <c r="S15" s="9"/>
      <c r="T15" s="9"/>
      <c r="U15" s="9"/>
    </row>
    <row r="16" spans="1:21" x14ac:dyDescent="0.35">
      <c r="A16" s="14"/>
      <c r="B16" s="17">
        <f t="shared" si="0"/>
        <v>11</v>
      </c>
      <c r="C16" s="19" t="s">
        <v>31</v>
      </c>
      <c r="D16" s="23" t="s">
        <v>3</v>
      </c>
      <c r="E16" s="23" t="s">
        <v>3</v>
      </c>
      <c r="F16" s="23" t="s">
        <v>3</v>
      </c>
      <c r="G16" s="23"/>
      <c r="H16" s="23"/>
      <c r="I16" s="23"/>
      <c r="J16" s="23"/>
      <c r="K16" s="23"/>
      <c r="L16" s="23"/>
      <c r="M16" s="23"/>
      <c r="N16" s="23"/>
      <c r="O16" s="23"/>
      <c r="P16" s="10"/>
      <c r="Q16" s="10">
        <f t="shared" si="1"/>
        <v>3</v>
      </c>
      <c r="R16" s="11">
        <f t="shared" si="2"/>
        <v>150000</v>
      </c>
      <c r="S16" s="9"/>
      <c r="T16" s="9"/>
      <c r="U16" s="9"/>
    </row>
    <row r="17" spans="1:21" x14ac:dyDescent="0.35">
      <c r="A17" s="14"/>
      <c r="B17" s="17">
        <f t="shared" si="0"/>
        <v>12</v>
      </c>
      <c r="C17" s="12" t="s">
        <v>32</v>
      </c>
      <c r="D17" s="23" t="s">
        <v>3</v>
      </c>
      <c r="E17" s="23" t="s">
        <v>3</v>
      </c>
      <c r="F17" s="23" t="s">
        <v>3</v>
      </c>
      <c r="G17" s="23" t="s">
        <v>3</v>
      </c>
      <c r="H17" s="23" t="s">
        <v>3</v>
      </c>
      <c r="I17" s="23" t="s">
        <v>3</v>
      </c>
      <c r="J17" s="23"/>
      <c r="K17" s="23"/>
      <c r="L17" s="23"/>
      <c r="M17" s="23"/>
      <c r="N17" s="23"/>
      <c r="O17" s="23"/>
      <c r="P17" s="10"/>
      <c r="Q17" s="10">
        <f t="shared" si="1"/>
        <v>6</v>
      </c>
      <c r="R17" s="11">
        <f t="shared" si="2"/>
        <v>300000</v>
      </c>
      <c r="S17" s="9"/>
      <c r="T17" s="9"/>
      <c r="U17" s="9"/>
    </row>
    <row r="18" spans="1:21" x14ac:dyDescent="0.35">
      <c r="A18" s="14"/>
      <c r="B18" s="17">
        <f t="shared" si="0"/>
        <v>13</v>
      </c>
      <c r="C18" s="19" t="s">
        <v>33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10"/>
      <c r="Q18" s="10">
        <f t="shared" si="1"/>
        <v>0</v>
      </c>
      <c r="R18" s="11">
        <f t="shared" si="2"/>
        <v>0</v>
      </c>
      <c r="S18" s="9"/>
      <c r="T18" s="9"/>
      <c r="U18" s="9"/>
    </row>
    <row r="19" spans="1:21" x14ac:dyDescent="0.35">
      <c r="A19" s="14"/>
      <c r="B19" s="17">
        <f t="shared" si="0"/>
        <v>14</v>
      </c>
      <c r="C19" s="12" t="s">
        <v>34</v>
      </c>
      <c r="D19" s="23" t="s">
        <v>3</v>
      </c>
      <c r="E19" s="23" t="s">
        <v>3</v>
      </c>
      <c r="F19" s="23" t="s">
        <v>3</v>
      </c>
      <c r="G19" s="23" t="s">
        <v>3</v>
      </c>
      <c r="H19" s="23"/>
      <c r="I19" s="23"/>
      <c r="J19" s="23"/>
      <c r="K19" s="23"/>
      <c r="L19" s="23"/>
      <c r="M19" s="23"/>
      <c r="N19" s="23"/>
      <c r="O19" s="23"/>
      <c r="P19" s="10"/>
      <c r="Q19" s="10">
        <f t="shared" si="1"/>
        <v>4</v>
      </c>
      <c r="R19" s="11">
        <f t="shared" si="2"/>
        <v>200000</v>
      </c>
      <c r="S19" s="9"/>
      <c r="T19" s="9"/>
      <c r="U19" s="9"/>
    </row>
    <row r="20" spans="1:21" x14ac:dyDescent="0.35">
      <c r="A20" s="14"/>
      <c r="B20" s="17">
        <f t="shared" si="0"/>
        <v>15</v>
      </c>
      <c r="C20" s="12" t="s">
        <v>35</v>
      </c>
      <c r="D20" s="23" t="s">
        <v>3</v>
      </c>
      <c r="E20" s="23" t="s">
        <v>3</v>
      </c>
      <c r="F20" s="23" t="s">
        <v>3</v>
      </c>
      <c r="G20" s="23"/>
      <c r="H20" s="23"/>
      <c r="I20" s="23"/>
      <c r="J20" s="23"/>
      <c r="K20" s="23"/>
      <c r="L20" s="23"/>
      <c r="M20" s="23"/>
      <c r="N20" s="23"/>
      <c r="O20" s="23"/>
      <c r="P20" s="10"/>
      <c r="Q20" s="10">
        <f t="shared" si="1"/>
        <v>3</v>
      </c>
      <c r="R20" s="11">
        <f t="shared" si="2"/>
        <v>150000</v>
      </c>
      <c r="S20" s="9"/>
      <c r="T20" s="9"/>
      <c r="U20" s="9"/>
    </row>
    <row r="21" spans="1:21" x14ac:dyDescent="0.35">
      <c r="A21" s="14"/>
      <c r="B21" s="17">
        <f t="shared" si="0"/>
        <v>16</v>
      </c>
      <c r="C21" s="12" t="s">
        <v>36</v>
      </c>
      <c r="D21" s="23" t="s">
        <v>3</v>
      </c>
      <c r="E21" s="23" t="s">
        <v>3</v>
      </c>
      <c r="F21" s="23" t="s">
        <v>3</v>
      </c>
      <c r="G21" s="23" t="s">
        <v>3</v>
      </c>
      <c r="H21" s="23" t="s">
        <v>3</v>
      </c>
      <c r="I21" s="23" t="s">
        <v>3</v>
      </c>
      <c r="J21" s="23" t="s">
        <v>3</v>
      </c>
      <c r="K21" s="23" t="s">
        <v>3</v>
      </c>
      <c r="L21" s="23" t="s">
        <v>3</v>
      </c>
      <c r="M21" s="23" t="s">
        <v>3</v>
      </c>
      <c r="N21" s="23" t="s">
        <v>3</v>
      </c>
      <c r="O21" s="23" t="s">
        <v>3</v>
      </c>
      <c r="P21" s="10"/>
      <c r="Q21" s="10">
        <f t="shared" si="1"/>
        <v>12</v>
      </c>
      <c r="R21" s="11">
        <f t="shared" si="2"/>
        <v>600000</v>
      </c>
      <c r="S21" s="9"/>
      <c r="T21" s="9"/>
      <c r="U21" s="9"/>
    </row>
    <row r="22" spans="1:21" x14ac:dyDescent="0.35">
      <c r="A22" s="14"/>
      <c r="B22" s="17">
        <f t="shared" si="0"/>
        <v>17</v>
      </c>
      <c r="C22" s="19" t="s">
        <v>37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10"/>
      <c r="Q22" s="10">
        <f t="shared" si="1"/>
        <v>0</v>
      </c>
      <c r="R22" s="11">
        <f t="shared" si="2"/>
        <v>0</v>
      </c>
      <c r="S22" s="9"/>
      <c r="T22" s="9"/>
      <c r="U22" s="9"/>
    </row>
    <row r="23" spans="1:21" x14ac:dyDescent="0.35">
      <c r="A23" s="14"/>
      <c r="B23" s="17">
        <f t="shared" si="0"/>
        <v>18</v>
      </c>
      <c r="C23" s="19" t="s">
        <v>38</v>
      </c>
      <c r="D23" s="23" t="s">
        <v>3</v>
      </c>
      <c r="E23" s="23" t="s">
        <v>3</v>
      </c>
      <c r="F23" s="23" t="s">
        <v>3</v>
      </c>
      <c r="G23" s="23" t="s">
        <v>3</v>
      </c>
      <c r="H23" s="23"/>
      <c r="I23" s="23"/>
      <c r="J23" s="23"/>
      <c r="K23" s="23"/>
      <c r="L23" s="23"/>
      <c r="M23" s="23"/>
      <c r="N23" s="23"/>
      <c r="O23" s="23"/>
      <c r="P23" s="10"/>
      <c r="Q23" s="10">
        <f t="shared" si="1"/>
        <v>4</v>
      </c>
      <c r="R23" s="11">
        <f t="shared" si="2"/>
        <v>200000</v>
      </c>
      <c r="S23" s="9"/>
      <c r="T23" s="9"/>
      <c r="U23" s="9"/>
    </row>
    <row r="24" spans="1:21" x14ac:dyDescent="0.35">
      <c r="A24" s="14"/>
      <c r="B24" s="17">
        <f t="shared" si="0"/>
        <v>19</v>
      </c>
      <c r="C24" s="19" t="s">
        <v>39</v>
      </c>
      <c r="D24" s="23" t="s">
        <v>3</v>
      </c>
      <c r="E24" s="23" t="s">
        <v>3</v>
      </c>
      <c r="F24" s="23" t="s">
        <v>3</v>
      </c>
      <c r="G24" s="23" t="s">
        <v>3</v>
      </c>
      <c r="H24" s="23" t="s">
        <v>3</v>
      </c>
      <c r="I24" s="23"/>
      <c r="J24" s="23"/>
      <c r="K24" s="23"/>
      <c r="L24" s="23"/>
      <c r="M24" s="23"/>
      <c r="N24" s="23"/>
      <c r="O24" s="23"/>
      <c r="P24" s="10"/>
      <c r="Q24" s="10">
        <f t="shared" si="1"/>
        <v>5</v>
      </c>
      <c r="R24" s="11">
        <f t="shared" si="2"/>
        <v>250000</v>
      </c>
      <c r="S24" s="9"/>
      <c r="T24" s="9"/>
      <c r="U24" s="9"/>
    </row>
    <row r="25" spans="1:21" x14ac:dyDescent="0.35">
      <c r="A25" s="14"/>
      <c r="B25" s="17">
        <f t="shared" si="0"/>
        <v>20</v>
      </c>
      <c r="C25" s="19" t="s">
        <v>40</v>
      </c>
      <c r="D25" s="23" t="s">
        <v>3</v>
      </c>
      <c r="E25" s="23" t="s">
        <v>3</v>
      </c>
      <c r="F25" s="23" t="s">
        <v>3</v>
      </c>
      <c r="G25" s="23" t="s">
        <v>3</v>
      </c>
      <c r="H25" s="23"/>
      <c r="I25" s="23"/>
      <c r="J25" s="23"/>
      <c r="K25" s="23"/>
      <c r="L25" s="23"/>
      <c r="M25" s="23"/>
      <c r="N25" s="23"/>
      <c r="O25" s="23"/>
      <c r="P25" s="10"/>
      <c r="Q25" s="10">
        <f t="shared" si="1"/>
        <v>4</v>
      </c>
      <c r="R25" s="11">
        <f t="shared" si="2"/>
        <v>200000</v>
      </c>
      <c r="S25" s="9"/>
      <c r="T25" s="9"/>
      <c r="U25" s="9"/>
    </row>
    <row r="26" spans="1:21" x14ac:dyDescent="0.35">
      <c r="A26" s="14"/>
      <c r="B26" s="17">
        <f t="shared" si="0"/>
        <v>21</v>
      </c>
      <c r="C26" s="19" t="s">
        <v>41</v>
      </c>
      <c r="D26" s="23" t="s">
        <v>3</v>
      </c>
      <c r="E26" s="23" t="s">
        <v>3</v>
      </c>
      <c r="F26" s="23" t="s">
        <v>3</v>
      </c>
      <c r="G26" s="23" t="s">
        <v>3</v>
      </c>
      <c r="H26" s="23"/>
      <c r="I26" s="23"/>
      <c r="J26" s="23"/>
      <c r="K26" s="23"/>
      <c r="L26" s="23"/>
      <c r="M26" s="23"/>
      <c r="N26" s="23"/>
      <c r="O26" s="23"/>
      <c r="P26" s="10"/>
      <c r="Q26" s="10">
        <f t="shared" si="1"/>
        <v>4</v>
      </c>
      <c r="R26" s="11">
        <f t="shared" si="2"/>
        <v>200000</v>
      </c>
      <c r="S26" s="9"/>
      <c r="T26" s="9"/>
      <c r="U26" s="9"/>
    </row>
    <row r="27" spans="1:21" x14ac:dyDescent="0.35">
      <c r="A27" s="14"/>
      <c r="B27" s="17">
        <f t="shared" si="0"/>
        <v>22</v>
      </c>
      <c r="C27" s="19" t="s">
        <v>42</v>
      </c>
      <c r="D27" s="23" t="s">
        <v>3</v>
      </c>
      <c r="E27" s="23" t="s">
        <v>3</v>
      </c>
      <c r="F27" s="23" t="s">
        <v>3</v>
      </c>
      <c r="G27" s="23" t="s">
        <v>3</v>
      </c>
      <c r="H27" s="23" t="s">
        <v>3</v>
      </c>
      <c r="I27" s="23" t="s">
        <v>3</v>
      </c>
      <c r="J27" s="23" t="s">
        <v>3</v>
      </c>
      <c r="K27" s="23" t="s">
        <v>3</v>
      </c>
      <c r="L27" s="23" t="s">
        <v>3</v>
      </c>
      <c r="M27" s="23" t="s">
        <v>3</v>
      </c>
      <c r="N27" s="23" t="s">
        <v>3</v>
      </c>
      <c r="O27" s="23" t="s">
        <v>3</v>
      </c>
      <c r="P27" s="10"/>
      <c r="Q27" s="10">
        <f t="shared" si="1"/>
        <v>12</v>
      </c>
      <c r="R27" s="11">
        <f t="shared" si="2"/>
        <v>600000</v>
      </c>
      <c r="S27" s="9"/>
      <c r="T27" s="9"/>
      <c r="U27" s="9"/>
    </row>
    <row r="28" spans="1:21" x14ac:dyDescent="0.35">
      <c r="A28" s="14"/>
      <c r="B28" s="17">
        <f t="shared" si="0"/>
        <v>23</v>
      </c>
      <c r="C28" s="19" t="s">
        <v>43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10"/>
      <c r="Q28" s="10">
        <f t="shared" si="1"/>
        <v>0</v>
      </c>
      <c r="R28" s="11">
        <f t="shared" si="2"/>
        <v>0</v>
      </c>
      <c r="S28" s="9"/>
      <c r="T28" s="9"/>
      <c r="U28" s="9"/>
    </row>
    <row r="29" spans="1:21" x14ac:dyDescent="0.35">
      <c r="A29" s="14"/>
      <c r="B29" s="17">
        <f t="shared" si="0"/>
        <v>24</v>
      </c>
      <c r="C29" s="19" t="s">
        <v>44</v>
      </c>
      <c r="D29" s="23" t="s">
        <v>3</v>
      </c>
      <c r="E29" s="23" t="s">
        <v>3</v>
      </c>
      <c r="F29" s="23" t="s">
        <v>3</v>
      </c>
      <c r="G29" s="23" t="s">
        <v>3</v>
      </c>
      <c r="H29" s="23"/>
      <c r="I29" s="23"/>
      <c r="J29" s="23"/>
      <c r="K29" s="23"/>
      <c r="L29" s="23"/>
      <c r="M29" s="23"/>
      <c r="N29" s="23"/>
      <c r="O29" s="23"/>
      <c r="P29" s="10"/>
      <c r="Q29" s="10">
        <f t="shared" si="1"/>
        <v>4</v>
      </c>
      <c r="R29" s="11">
        <f t="shared" si="2"/>
        <v>200000</v>
      </c>
      <c r="S29" s="9"/>
      <c r="T29" s="9"/>
      <c r="U29" s="9"/>
    </row>
    <row r="30" spans="1:21" x14ac:dyDescent="0.35">
      <c r="A30" s="14"/>
      <c r="B30" s="17">
        <f t="shared" si="0"/>
        <v>25</v>
      </c>
      <c r="C30" s="19" t="s">
        <v>45</v>
      </c>
      <c r="D30" s="23" t="s">
        <v>3</v>
      </c>
      <c r="E30" s="23" t="s">
        <v>3</v>
      </c>
      <c r="F30" s="23" t="s">
        <v>3</v>
      </c>
      <c r="G30" s="23" t="s">
        <v>3</v>
      </c>
      <c r="H30" s="23"/>
      <c r="I30" s="23"/>
      <c r="J30" s="23"/>
      <c r="K30" s="23"/>
      <c r="L30" s="23"/>
      <c r="M30" s="23"/>
      <c r="N30" s="23"/>
      <c r="O30" s="23"/>
      <c r="P30" s="10"/>
      <c r="Q30" s="10">
        <f t="shared" si="1"/>
        <v>4</v>
      </c>
      <c r="R30" s="11">
        <f t="shared" si="2"/>
        <v>200000</v>
      </c>
      <c r="S30" s="9"/>
      <c r="T30" s="9"/>
      <c r="U30" s="9"/>
    </row>
    <row r="31" spans="1:21" x14ac:dyDescent="0.35">
      <c r="A31" s="14"/>
      <c r="B31" s="17">
        <f t="shared" si="0"/>
        <v>26</v>
      </c>
      <c r="C31" s="12" t="s">
        <v>46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12"/>
      <c r="Q31" s="12">
        <f t="shared" si="1"/>
        <v>0</v>
      </c>
      <c r="R31" s="13">
        <f t="shared" si="2"/>
        <v>0</v>
      </c>
      <c r="S31" s="9"/>
      <c r="T31" s="9"/>
      <c r="U31" s="9"/>
    </row>
    <row r="32" spans="1:21" x14ac:dyDescent="0.35">
      <c r="A32" s="14"/>
      <c r="B32" s="17">
        <f t="shared" si="0"/>
        <v>27</v>
      </c>
      <c r="C32" s="12" t="s">
        <v>47</v>
      </c>
      <c r="D32" s="23" t="s">
        <v>3</v>
      </c>
      <c r="E32" s="23" t="s">
        <v>3</v>
      </c>
      <c r="F32" s="23" t="s">
        <v>3</v>
      </c>
      <c r="G32" s="23"/>
      <c r="H32" s="23"/>
      <c r="I32" s="23"/>
      <c r="J32" s="23"/>
      <c r="K32" s="23"/>
      <c r="L32" s="23"/>
      <c r="M32" s="23"/>
      <c r="N32" s="23"/>
      <c r="O32" s="23"/>
      <c r="P32" s="12"/>
      <c r="Q32" s="12">
        <f t="shared" si="1"/>
        <v>3</v>
      </c>
      <c r="R32" s="13">
        <f t="shared" si="2"/>
        <v>150000</v>
      </c>
      <c r="S32" s="9"/>
      <c r="T32" s="9"/>
      <c r="U32" s="9"/>
    </row>
    <row r="33" spans="1:19" x14ac:dyDescent="0.35">
      <c r="A33" s="14"/>
      <c r="B33" s="17">
        <f t="shared" si="0"/>
        <v>28</v>
      </c>
      <c r="C33" s="12" t="s">
        <v>48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12"/>
      <c r="Q33" s="12">
        <f t="shared" si="1"/>
        <v>0</v>
      </c>
      <c r="R33" s="13">
        <f t="shared" si="2"/>
        <v>0</v>
      </c>
      <c r="S33" s="9"/>
    </row>
    <row r="34" spans="1:19" x14ac:dyDescent="0.35">
      <c r="A34" s="14"/>
      <c r="B34" s="17">
        <f t="shared" si="0"/>
        <v>29</v>
      </c>
      <c r="C34" s="12" t="s">
        <v>49</v>
      </c>
      <c r="D34" s="23" t="s">
        <v>3</v>
      </c>
      <c r="E34" s="23" t="s">
        <v>3</v>
      </c>
      <c r="F34" s="23" t="s">
        <v>3</v>
      </c>
      <c r="G34" s="23" t="s">
        <v>3</v>
      </c>
      <c r="H34" s="23" t="s">
        <v>3</v>
      </c>
      <c r="I34" s="23" t="s">
        <v>3</v>
      </c>
      <c r="J34" s="23" t="s">
        <v>3</v>
      </c>
      <c r="K34" s="23" t="s">
        <v>3</v>
      </c>
      <c r="L34" s="23"/>
      <c r="M34" s="23"/>
      <c r="N34" s="23"/>
      <c r="O34" s="23"/>
      <c r="P34" s="12"/>
      <c r="Q34" s="12">
        <f t="shared" si="1"/>
        <v>8</v>
      </c>
      <c r="R34" s="13">
        <f t="shared" si="2"/>
        <v>400000</v>
      </c>
      <c r="S34" s="9"/>
    </row>
    <row r="35" spans="1:19" x14ac:dyDescent="0.35">
      <c r="A35" s="14"/>
      <c r="B35" s="17">
        <f t="shared" si="0"/>
        <v>30</v>
      </c>
      <c r="C35" s="12" t="s">
        <v>50</v>
      </c>
      <c r="D35" s="23" t="s">
        <v>3</v>
      </c>
      <c r="E35" s="23" t="s">
        <v>3</v>
      </c>
      <c r="F35" s="23" t="s">
        <v>3</v>
      </c>
      <c r="G35" s="23" t="s">
        <v>3</v>
      </c>
      <c r="H35" s="23" t="s">
        <v>3</v>
      </c>
      <c r="I35" s="23" t="s">
        <v>3</v>
      </c>
      <c r="J35" s="23" t="s">
        <v>3</v>
      </c>
      <c r="K35" s="23" t="s">
        <v>3</v>
      </c>
      <c r="L35" s="23"/>
      <c r="M35" s="23"/>
      <c r="N35" s="23"/>
      <c r="O35" s="23"/>
      <c r="P35" s="12"/>
      <c r="Q35" s="12">
        <f t="shared" si="1"/>
        <v>8</v>
      </c>
      <c r="R35" s="13">
        <f t="shared" si="2"/>
        <v>400000</v>
      </c>
      <c r="S35" s="9"/>
    </row>
    <row r="36" spans="1:19" x14ac:dyDescent="0.35">
      <c r="A36" s="14"/>
      <c r="B36" s="17">
        <f t="shared" si="0"/>
        <v>31</v>
      </c>
      <c r="C36" s="12" t="s">
        <v>51</v>
      </c>
      <c r="D36" s="23" t="s">
        <v>3</v>
      </c>
      <c r="E36" s="23" t="s">
        <v>3</v>
      </c>
      <c r="F36" s="23" t="s">
        <v>3</v>
      </c>
      <c r="G36" s="23" t="s">
        <v>3</v>
      </c>
      <c r="H36" s="23" t="s">
        <v>3</v>
      </c>
      <c r="I36" s="23" t="s">
        <v>3</v>
      </c>
      <c r="J36" s="23" t="s">
        <v>3</v>
      </c>
      <c r="K36" s="23" t="s">
        <v>3</v>
      </c>
      <c r="L36" s="23" t="s">
        <v>3</v>
      </c>
      <c r="M36" s="23" t="s">
        <v>3</v>
      </c>
      <c r="N36" s="23" t="s">
        <v>3</v>
      </c>
      <c r="O36" s="23" t="s">
        <v>3</v>
      </c>
      <c r="P36" s="12"/>
      <c r="Q36" s="12">
        <f t="shared" si="1"/>
        <v>12</v>
      </c>
      <c r="R36" s="13">
        <f t="shared" si="2"/>
        <v>600000</v>
      </c>
      <c r="S36" s="9"/>
    </row>
    <row r="37" spans="1:19" hidden="1" x14ac:dyDescent="0.35">
      <c r="A37" s="14"/>
      <c r="B37" s="17">
        <f t="shared" si="0"/>
        <v>32</v>
      </c>
      <c r="C37" s="1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12"/>
      <c r="Q37" s="12">
        <f t="shared" si="1"/>
        <v>0</v>
      </c>
      <c r="R37" s="13">
        <f t="shared" si="2"/>
        <v>0</v>
      </c>
      <c r="S37" s="9"/>
    </row>
    <row r="38" spans="1:19" hidden="1" x14ac:dyDescent="0.35">
      <c r="A38" s="14"/>
      <c r="B38" s="17">
        <f t="shared" si="0"/>
        <v>33</v>
      </c>
      <c r="C38" s="1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12"/>
      <c r="Q38" s="12">
        <f t="shared" si="1"/>
        <v>0</v>
      </c>
      <c r="R38" s="13">
        <f t="shared" si="2"/>
        <v>0</v>
      </c>
      <c r="S38" s="9"/>
    </row>
    <row r="39" spans="1:19" hidden="1" x14ac:dyDescent="0.35">
      <c r="A39" s="14"/>
      <c r="B39" s="17">
        <f t="shared" si="0"/>
        <v>34</v>
      </c>
      <c r="C39" s="1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12"/>
      <c r="Q39" s="12">
        <f t="shared" si="1"/>
        <v>0</v>
      </c>
      <c r="R39" s="13">
        <f t="shared" si="2"/>
        <v>0</v>
      </c>
      <c r="S39" s="9"/>
    </row>
    <row r="40" spans="1:19" hidden="1" x14ac:dyDescent="0.35">
      <c r="A40" s="14"/>
      <c r="B40" s="17">
        <f t="shared" si="0"/>
        <v>35</v>
      </c>
      <c r="C40" s="1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12"/>
      <c r="Q40" s="12">
        <f t="shared" si="1"/>
        <v>0</v>
      </c>
      <c r="R40" s="13">
        <f t="shared" si="2"/>
        <v>0</v>
      </c>
      <c r="S40" s="9"/>
    </row>
    <row r="41" spans="1:19" hidden="1" x14ac:dyDescent="0.35">
      <c r="A41" s="14"/>
      <c r="B41" s="17">
        <f t="shared" si="0"/>
        <v>36</v>
      </c>
      <c r="C41" s="1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12"/>
      <c r="Q41" s="12">
        <f t="shared" si="1"/>
        <v>0</v>
      </c>
      <c r="R41" s="13">
        <f t="shared" si="2"/>
        <v>0</v>
      </c>
      <c r="S41" s="9"/>
    </row>
    <row r="42" spans="1:19" hidden="1" x14ac:dyDescent="0.35">
      <c r="A42" s="14"/>
      <c r="B42" s="17">
        <f t="shared" si="0"/>
        <v>37</v>
      </c>
      <c r="C42" s="1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12"/>
      <c r="Q42" s="12">
        <f t="shared" si="1"/>
        <v>0</v>
      </c>
      <c r="R42" s="13">
        <f t="shared" si="2"/>
        <v>0</v>
      </c>
      <c r="S42" s="9"/>
    </row>
    <row r="43" spans="1:19" hidden="1" x14ac:dyDescent="0.35">
      <c r="A43" s="14"/>
      <c r="B43" s="17">
        <f t="shared" si="0"/>
        <v>38</v>
      </c>
      <c r="C43" s="1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12"/>
      <c r="Q43" s="12">
        <f t="shared" si="1"/>
        <v>0</v>
      </c>
      <c r="R43" s="13">
        <f t="shared" si="2"/>
        <v>0</v>
      </c>
      <c r="S43" s="9"/>
    </row>
    <row r="44" spans="1:19" hidden="1" x14ac:dyDescent="0.35">
      <c r="A44" s="14"/>
      <c r="B44" s="17">
        <f t="shared" si="0"/>
        <v>39</v>
      </c>
      <c r="C44" s="1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12"/>
      <c r="Q44" s="12">
        <f t="shared" si="1"/>
        <v>0</v>
      </c>
      <c r="R44" s="13">
        <f t="shared" si="2"/>
        <v>0</v>
      </c>
      <c r="S44" s="9"/>
    </row>
    <row r="45" spans="1:19" hidden="1" x14ac:dyDescent="0.35">
      <c r="A45" s="14"/>
      <c r="B45" s="17">
        <f t="shared" si="0"/>
        <v>40</v>
      </c>
      <c r="C45" s="1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12"/>
      <c r="Q45" s="12">
        <f t="shared" si="1"/>
        <v>0</v>
      </c>
      <c r="R45" s="13">
        <f t="shared" si="2"/>
        <v>0</v>
      </c>
      <c r="S45" s="9"/>
    </row>
    <row r="46" spans="1:19" hidden="1" x14ac:dyDescent="0.35">
      <c r="A46" s="14"/>
      <c r="B46" s="17">
        <f t="shared" si="0"/>
        <v>41</v>
      </c>
      <c r="C46" s="1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12"/>
      <c r="Q46" s="12">
        <f t="shared" si="1"/>
        <v>0</v>
      </c>
      <c r="R46" s="13">
        <f t="shared" si="2"/>
        <v>0</v>
      </c>
      <c r="S46" s="9"/>
    </row>
    <row r="47" spans="1:19" hidden="1" x14ac:dyDescent="0.35">
      <c r="A47" s="14"/>
      <c r="B47" s="17">
        <f t="shared" si="0"/>
        <v>42</v>
      </c>
      <c r="C47" s="1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12"/>
      <c r="Q47" s="12">
        <f t="shared" si="1"/>
        <v>0</v>
      </c>
      <c r="R47" s="13">
        <f t="shared" si="2"/>
        <v>0</v>
      </c>
      <c r="S47" s="9"/>
    </row>
    <row r="48" spans="1:19" hidden="1" x14ac:dyDescent="0.35">
      <c r="A48" s="14"/>
      <c r="B48" s="17">
        <f t="shared" si="0"/>
        <v>43</v>
      </c>
      <c r="C48" s="1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12"/>
      <c r="Q48" s="12">
        <f t="shared" si="1"/>
        <v>0</v>
      </c>
      <c r="R48" s="13">
        <f t="shared" si="2"/>
        <v>0</v>
      </c>
      <c r="S48" s="9"/>
    </row>
    <row r="49" spans="1:19" hidden="1" x14ac:dyDescent="0.35">
      <c r="A49" s="14"/>
      <c r="B49" s="17">
        <f t="shared" si="0"/>
        <v>44</v>
      </c>
      <c r="C49" s="1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12"/>
      <c r="Q49" s="12">
        <f t="shared" si="1"/>
        <v>0</v>
      </c>
      <c r="R49" s="13">
        <f t="shared" si="2"/>
        <v>0</v>
      </c>
      <c r="S49" s="9"/>
    </row>
    <row r="50" spans="1:19" hidden="1" x14ac:dyDescent="0.35">
      <c r="A50" s="14"/>
      <c r="B50" s="17">
        <f t="shared" si="0"/>
        <v>45</v>
      </c>
      <c r="C50" s="1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12"/>
      <c r="Q50" s="12">
        <f t="shared" si="1"/>
        <v>0</v>
      </c>
      <c r="R50" s="13">
        <f t="shared" si="2"/>
        <v>0</v>
      </c>
      <c r="S50" s="9"/>
    </row>
    <row r="51" spans="1:19" hidden="1" x14ac:dyDescent="0.35">
      <c r="A51" s="14"/>
      <c r="B51" s="17">
        <f t="shared" si="0"/>
        <v>46</v>
      </c>
      <c r="C51" s="12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12"/>
      <c r="Q51" s="12">
        <f t="shared" si="1"/>
        <v>0</v>
      </c>
      <c r="R51" s="13">
        <f t="shared" si="2"/>
        <v>0</v>
      </c>
      <c r="S51" s="9"/>
    </row>
    <row r="52" spans="1:19" hidden="1" x14ac:dyDescent="0.35">
      <c r="A52" s="14"/>
      <c r="B52" s="17">
        <f t="shared" si="0"/>
        <v>47</v>
      </c>
      <c r="C52" s="12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12"/>
      <c r="Q52" s="12">
        <f t="shared" si="1"/>
        <v>0</v>
      </c>
      <c r="R52" s="13">
        <f t="shared" si="2"/>
        <v>0</v>
      </c>
      <c r="S52" s="9"/>
    </row>
    <row r="53" spans="1:19" hidden="1" x14ac:dyDescent="0.35">
      <c r="A53" s="14"/>
      <c r="B53" s="17">
        <f t="shared" si="0"/>
        <v>48</v>
      </c>
      <c r="C53" s="1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12"/>
      <c r="Q53" s="12">
        <f t="shared" si="1"/>
        <v>0</v>
      </c>
      <c r="R53" s="13">
        <f t="shared" si="2"/>
        <v>0</v>
      </c>
      <c r="S53" s="9"/>
    </row>
    <row r="54" spans="1:19" x14ac:dyDescent="0.35">
      <c r="A54" s="14"/>
      <c r="B54" s="9"/>
      <c r="C54" s="2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9"/>
      <c r="Q54" s="9"/>
      <c r="R54" s="9"/>
      <c r="S54" s="9"/>
    </row>
    <row r="55" spans="1:19" ht="3" customHeight="1" x14ac:dyDescent="0.3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</row>
  </sheetData>
  <mergeCells count="5">
    <mergeCell ref="A1:C1"/>
    <mergeCell ref="D1:E1"/>
    <mergeCell ref="A2:S2"/>
    <mergeCell ref="B3:C3"/>
    <mergeCell ref="A55:S55"/>
  </mergeCells>
  <dataValidations count="1">
    <dataValidation type="list" allowBlank="1" showInputMessage="1" sqref="D6:O53">
      <formula1>$O$3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RowHeight="14.5" x14ac:dyDescent="0.35"/>
  <cols>
    <col min="1" max="1" width="3.453125" customWidth="1"/>
    <col min="2" max="2" width="5" customWidth="1"/>
    <col min="3" max="3" width="18" style="21" customWidth="1"/>
    <col min="4" max="15" width="6" customWidth="1"/>
    <col min="16" max="16" width="14.26953125" customWidth="1"/>
    <col min="17" max="17" width="8.453125" customWidth="1"/>
    <col min="18" max="18" width="16.54296875" customWidth="1"/>
    <col min="19" max="19" width="3.26953125" customWidth="1"/>
    <col min="20" max="20" width="16.26953125" customWidth="1"/>
  </cols>
  <sheetData>
    <row r="1" spans="1:21" ht="21" x14ac:dyDescent="0.5">
      <c r="A1" s="51" t="s">
        <v>0</v>
      </c>
      <c r="B1" s="51"/>
      <c r="C1" s="51"/>
      <c r="F1" s="1"/>
      <c r="G1" s="1"/>
      <c r="H1" s="2"/>
      <c r="I1" s="2"/>
      <c r="J1" s="2"/>
      <c r="K1" s="2"/>
      <c r="L1" s="2"/>
      <c r="M1" s="2"/>
      <c r="N1" s="2"/>
      <c r="O1" s="2"/>
      <c r="P1" s="1"/>
      <c r="Q1" s="1"/>
      <c r="R1" s="1"/>
    </row>
    <row r="2" spans="1:21" ht="3.5" customHeight="1" x14ac:dyDescent="0.3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</row>
    <row r="3" spans="1:21" ht="23.5" x14ac:dyDescent="0.55000000000000004">
      <c r="A3" s="1"/>
      <c r="B3" s="52">
        <v>2025</v>
      </c>
      <c r="C3" s="52"/>
      <c r="D3" s="1"/>
      <c r="E3" s="3"/>
      <c r="F3" s="1"/>
      <c r="G3" s="1"/>
      <c r="H3" s="1"/>
      <c r="I3" s="1"/>
      <c r="J3" s="1"/>
      <c r="K3" s="4" t="s">
        <v>1</v>
      </c>
      <c r="L3" s="1"/>
      <c r="M3" s="5" t="s">
        <v>2</v>
      </c>
      <c r="N3" s="1"/>
      <c r="O3" s="22" t="s">
        <v>3</v>
      </c>
      <c r="P3" s="1"/>
      <c r="Q3" s="1"/>
      <c r="R3" s="6">
        <f>SUM(_202337[Tổng])</f>
        <v>0</v>
      </c>
    </row>
    <row r="4" spans="1:21" ht="6" customHeight="1" x14ac:dyDescent="0.35">
      <c r="A4" s="14"/>
      <c r="B4" s="15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9"/>
    </row>
    <row r="5" spans="1:21" x14ac:dyDescent="0.35">
      <c r="A5" s="16"/>
      <c r="B5" s="7" t="s">
        <v>4</v>
      </c>
      <c r="C5" s="12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  <c r="R5" s="8" t="s">
        <v>20</v>
      </c>
      <c r="S5" s="9"/>
      <c r="T5" s="9"/>
      <c r="U5" s="9"/>
    </row>
    <row r="6" spans="1:21" x14ac:dyDescent="0.35">
      <c r="A6" s="14"/>
      <c r="B6" s="17">
        <f t="shared" ref="B6:B53" si="0">ROW()-5</f>
        <v>1</v>
      </c>
      <c r="C6" s="12" t="s">
        <v>21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10"/>
      <c r="Q6" s="10">
        <f t="shared" ref="Q6:Q53" si="1">COUNTIF(D6:O6,"x")</f>
        <v>0</v>
      </c>
      <c r="R6" s="11">
        <f t="shared" ref="R6:R53" si="2">Q6*50000+P6</f>
        <v>0</v>
      </c>
      <c r="S6" s="9"/>
      <c r="T6" s="9"/>
      <c r="U6" s="9"/>
    </row>
    <row r="7" spans="1:21" x14ac:dyDescent="0.35">
      <c r="A7" s="14"/>
      <c r="B7" s="17">
        <f t="shared" si="0"/>
        <v>2</v>
      </c>
      <c r="C7" s="12" t="s">
        <v>22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10"/>
      <c r="Q7" s="10">
        <f t="shared" si="1"/>
        <v>0</v>
      </c>
      <c r="R7" s="11">
        <f t="shared" si="2"/>
        <v>0</v>
      </c>
      <c r="S7" s="9"/>
      <c r="T7" s="9"/>
      <c r="U7" s="9"/>
    </row>
    <row r="8" spans="1:21" x14ac:dyDescent="0.35">
      <c r="A8" s="14"/>
      <c r="B8" s="17">
        <f t="shared" si="0"/>
        <v>3</v>
      </c>
      <c r="C8" s="12" t="s">
        <v>23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10"/>
      <c r="Q8" s="10">
        <f t="shared" si="1"/>
        <v>0</v>
      </c>
      <c r="R8" s="11">
        <f t="shared" si="2"/>
        <v>0</v>
      </c>
      <c r="S8" s="9"/>
      <c r="T8" s="9"/>
      <c r="U8" s="9"/>
    </row>
    <row r="9" spans="1:21" x14ac:dyDescent="0.35">
      <c r="A9" s="14"/>
      <c r="B9" s="17">
        <f t="shared" si="0"/>
        <v>4</v>
      </c>
      <c r="C9" s="12" t="s">
        <v>24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10"/>
      <c r="Q9" s="10">
        <f t="shared" si="1"/>
        <v>0</v>
      </c>
      <c r="R9" s="11">
        <f t="shared" si="2"/>
        <v>0</v>
      </c>
      <c r="S9" s="9"/>
      <c r="T9" s="9"/>
      <c r="U9" s="9"/>
    </row>
    <row r="10" spans="1:21" x14ac:dyDescent="0.35">
      <c r="A10" s="14"/>
      <c r="B10" s="17">
        <f t="shared" si="0"/>
        <v>5</v>
      </c>
      <c r="C10" s="12" t="s">
        <v>25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10"/>
      <c r="Q10" s="10">
        <f t="shared" si="1"/>
        <v>0</v>
      </c>
      <c r="R10" s="11">
        <f t="shared" si="2"/>
        <v>0</v>
      </c>
      <c r="S10" s="9"/>
      <c r="T10" s="9"/>
      <c r="U10" s="9"/>
    </row>
    <row r="11" spans="1:21" x14ac:dyDescent="0.35">
      <c r="A11" s="14"/>
      <c r="B11" s="17">
        <f t="shared" si="0"/>
        <v>6</v>
      </c>
      <c r="C11" s="12" t="s">
        <v>26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10"/>
      <c r="Q11" s="10">
        <f t="shared" si="1"/>
        <v>0</v>
      </c>
      <c r="R11" s="11">
        <f t="shared" si="2"/>
        <v>0</v>
      </c>
      <c r="S11" s="9"/>
      <c r="T11" s="9"/>
      <c r="U11" s="9"/>
    </row>
    <row r="12" spans="1:21" x14ac:dyDescent="0.35">
      <c r="A12" s="14"/>
      <c r="B12" s="18">
        <f t="shared" si="0"/>
        <v>7</v>
      </c>
      <c r="C12" s="12" t="s">
        <v>27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12"/>
      <c r="Q12" s="12">
        <f t="shared" si="1"/>
        <v>0</v>
      </c>
      <c r="R12" s="13">
        <f t="shared" si="2"/>
        <v>0</v>
      </c>
      <c r="S12" s="9"/>
      <c r="T12" s="9"/>
      <c r="U12" s="9"/>
    </row>
    <row r="13" spans="1:21" x14ac:dyDescent="0.35">
      <c r="A13" s="14"/>
      <c r="B13" s="17">
        <f t="shared" si="0"/>
        <v>8</v>
      </c>
      <c r="C13" s="12" t="s">
        <v>28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10"/>
      <c r="Q13" s="10">
        <f t="shared" si="1"/>
        <v>0</v>
      </c>
      <c r="R13" s="11">
        <f t="shared" si="2"/>
        <v>0</v>
      </c>
      <c r="S13" s="9"/>
      <c r="T13" s="9"/>
      <c r="U13" s="9"/>
    </row>
    <row r="14" spans="1:21" x14ac:dyDescent="0.35">
      <c r="A14" s="14"/>
      <c r="B14" s="17">
        <f t="shared" si="0"/>
        <v>9</v>
      </c>
      <c r="C14" s="12" t="s">
        <v>29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10"/>
      <c r="Q14" s="10">
        <f t="shared" si="1"/>
        <v>0</v>
      </c>
      <c r="R14" s="11">
        <f t="shared" si="2"/>
        <v>0</v>
      </c>
      <c r="S14" s="9"/>
      <c r="T14" s="9"/>
      <c r="U14" s="9"/>
    </row>
    <row r="15" spans="1:21" x14ac:dyDescent="0.35">
      <c r="A15" s="14"/>
      <c r="B15" s="17">
        <f t="shared" si="0"/>
        <v>10</v>
      </c>
      <c r="C15" s="12" t="s">
        <v>30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10"/>
      <c r="Q15" s="10">
        <f t="shared" si="1"/>
        <v>0</v>
      </c>
      <c r="R15" s="11">
        <f t="shared" si="2"/>
        <v>0</v>
      </c>
      <c r="S15" s="9"/>
      <c r="T15" s="9"/>
      <c r="U15" s="9"/>
    </row>
    <row r="16" spans="1:21" x14ac:dyDescent="0.35">
      <c r="A16" s="14"/>
      <c r="B16" s="17">
        <f t="shared" si="0"/>
        <v>11</v>
      </c>
      <c r="C16" s="19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10"/>
      <c r="Q16" s="10">
        <f t="shared" si="1"/>
        <v>0</v>
      </c>
      <c r="R16" s="11">
        <f t="shared" si="2"/>
        <v>0</v>
      </c>
      <c r="S16" s="9"/>
      <c r="T16" s="9"/>
      <c r="U16" s="9"/>
    </row>
    <row r="17" spans="1:21" x14ac:dyDescent="0.35">
      <c r="A17" s="14"/>
      <c r="B17" s="17">
        <f t="shared" si="0"/>
        <v>12</v>
      </c>
      <c r="C17" s="12" t="s">
        <v>32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10"/>
      <c r="Q17" s="10">
        <f t="shared" si="1"/>
        <v>0</v>
      </c>
      <c r="R17" s="11">
        <f t="shared" si="2"/>
        <v>0</v>
      </c>
      <c r="S17" s="9"/>
      <c r="T17" s="9"/>
      <c r="U17" s="9"/>
    </row>
    <row r="18" spans="1:21" x14ac:dyDescent="0.35">
      <c r="A18" s="14"/>
      <c r="B18" s="17">
        <f t="shared" si="0"/>
        <v>13</v>
      </c>
      <c r="C18" s="19" t="s">
        <v>33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10"/>
      <c r="Q18" s="10">
        <f t="shared" si="1"/>
        <v>0</v>
      </c>
      <c r="R18" s="11">
        <f t="shared" si="2"/>
        <v>0</v>
      </c>
      <c r="S18" s="9"/>
      <c r="T18" s="9"/>
      <c r="U18" s="9"/>
    </row>
    <row r="19" spans="1:21" x14ac:dyDescent="0.35">
      <c r="A19" s="14"/>
      <c r="B19" s="17">
        <f t="shared" si="0"/>
        <v>14</v>
      </c>
      <c r="C19" s="12" t="s">
        <v>34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10"/>
      <c r="Q19" s="10">
        <f t="shared" si="1"/>
        <v>0</v>
      </c>
      <c r="R19" s="11">
        <f t="shared" si="2"/>
        <v>0</v>
      </c>
      <c r="S19" s="9"/>
      <c r="T19" s="9"/>
      <c r="U19" s="9"/>
    </row>
    <row r="20" spans="1:21" x14ac:dyDescent="0.35">
      <c r="A20" s="14"/>
      <c r="B20" s="17">
        <f t="shared" si="0"/>
        <v>15</v>
      </c>
      <c r="C20" s="12" t="s">
        <v>35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10"/>
      <c r="Q20" s="10">
        <f t="shared" si="1"/>
        <v>0</v>
      </c>
      <c r="R20" s="11">
        <f t="shared" si="2"/>
        <v>0</v>
      </c>
      <c r="S20" s="9"/>
      <c r="T20" s="9"/>
      <c r="U20" s="9"/>
    </row>
    <row r="21" spans="1:21" x14ac:dyDescent="0.35">
      <c r="A21" s="14"/>
      <c r="B21" s="17">
        <f t="shared" si="0"/>
        <v>16</v>
      </c>
      <c r="C21" s="12" t="s">
        <v>36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10"/>
      <c r="Q21" s="10">
        <f t="shared" si="1"/>
        <v>0</v>
      </c>
      <c r="R21" s="11">
        <f t="shared" si="2"/>
        <v>0</v>
      </c>
      <c r="S21" s="9"/>
      <c r="T21" s="9"/>
      <c r="U21" s="9"/>
    </row>
    <row r="22" spans="1:21" x14ac:dyDescent="0.35">
      <c r="A22" s="14"/>
      <c r="B22" s="17">
        <f t="shared" si="0"/>
        <v>17</v>
      </c>
      <c r="C22" s="19" t="s">
        <v>37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10"/>
      <c r="Q22" s="10">
        <f t="shared" si="1"/>
        <v>0</v>
      </c>
      <c r="R22" s="11">
        <f t="shared" si="2"/>
        <v>0</v>
      </c>
      <c r="S22" s="9"/>
      <c r="T22" s="9"/>
      <c r="U22" s="9"/>
    </row>
    <row r="23" spans="1:21" x14ac:dyDescent="0.35">
      <c r="A23" s="14"/>
      <c r="B23" s="17">
        <f t="shared" si="0"/>
        <v>18</v>
      </c>
      <c r="C23" s="19" t="s">
        <v>38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10"/>
      <c r="Q23" s="10">
        <f t="shared" si="1"/>
        <v>0</v>
      </c>
      <c r="R23" s="11">
        <f t="shared" si="2"/>
        <v>0</v>
      </c>
      <c r="S23" s="9"/>
      <c r="T23" s="9"/>
      <c r="U23" s="9"/>
    </row>
    <row r="24" spans="1:21" x14ac:dyDescent="0.35">
      <c r="A24" s="14"/>
      <c r="B24" s="17">
        <f t="shared" si="0"/>
        <v>19</v>
      </c>
      <c r="C24" s="19" t="s">
        <v>39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10"/>
      <c r="Q24" s="10">
        <f t="shared" si="1"/>
        <v>0</v>
      </c>
      <c r="R24" s="11">
        <f t="shared" si="2"/>
        <v>0</v>
      </c>
      <c r="S24" s="9"/>
      <c r="T24" s="9"/>
      <c r="U24" s="9"/>
    </row>
    <row r="25" spans="1:21" x14ac:dyDescent="0.35">
      <c r="A25" s="14"/>
      <c r="B25" s="17">
        <f t="shared" si="0"/>
        <v>20</v>
      </c>
      <c r="C25" s="19" t="s">
        <v>40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10"/>
      <c r="Q25" s="10">
        <f t="shared" si="1"/>
        <v>0</v>
      </c>
      <c r="R25" s="11">
        <f t="shared" si="2"/>
        <v>0</v>
      </c>
      <c r="S25" s="9"/>
      <c r="T25" s="9"/>
      <c r="U25" s="9"/>
    </row>
    <row r="26" spans="1:21" x14ac:dyDescent="0.35">
      <c r="A26" s="14"/>
      <c r="B26" s="17">
        <f t="shared" si="0"/>
        <v>21</v>
      </c>
      <c r="C26" s="19" t="s">
        <v>41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10"/>
      <c r="Q26" s="10">
        <f t="shared" si="1"/>
        <v>0</v>
      </c>
      <c r="R26" s="11">
        <f t="shared" si="2"/>
        <v>0</v>
      </c>
      <c r="S26" s="9"/>
      <c r="T26" s="9"/>
      <c r="U26" s="9"/>
    </row>
    <row r="27" spans="1:21" x14ac:dyDescent="0.35">
      <c r="A27" s="14"/>
      <c r="B27" s="17">
        <f t="shared" si="0"/>
        <v>22</v>
      </c>
      <c r="C27" s="19" t="s">
        <v>42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10"/>
      <c r="Q27" s="10">
        <f t="shared" si="1"/>
        <v>0</v>
      </c>
      <c r="R27" s="11">
        <f t="shared" si="2"/>
        <v>0</v>
      </c>
      <c r="S27" s="9"/>
      <c r="T27" s="9"/>
      <c r="U27" s="9"/>
    </row>
    <row r="28" spans="1:21" x14ac:dyDescent="0.35">
      <c r="A28" s="14"/>
      <c r="B28" s="17">
        <f t="shared" si="0"/>
        <v>23</v>
      </c>
      <c r="C28" s="19" t="s">
        <v>43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10"/>
      <c r="Q28" s="10">
        <f t="shared" si="1"/>
        <v>0</v>
      </c>
      <c r="R28" s="11">
        <f t="shared" si="2"/>
        <v>0</v>
      </c>
      <c r="S28" s="9"/>
      <c r="T28" s="9"/>
      <c r="U28" s="9"/>
    </row>
    <row r="29" spans="1:21" x14ac:dyDescent="0.35">
      <c r="A29" s="14"/>
      <c r="B29" s="17">
        <f t="shared" si="0"/>
        <v>24</v>
      </c>
      <c r="C29" s="19" t="s">
        <v>44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10"/>
      <c r="Q29" s="10">
        <f t="shared" si="1"/>
        <v>0</v>
      </c>
      <c r="R29" s="11">
        <f t="shared" si="2"/>
        <v>0</v>
      </c>
      <c r="S29" s="9"/>
      <c r="T29" s="9"/>
      <c r="U29" s="9"/>
    </row>
    <row r="30" spans="1:21" x14ac:dyDescent="0.35">
      <c r="A30" s="14"/>
      <c r="B30" s="17">
        <f t="shared" si="0"/>
        <v>25</v>
      </c>
      <c r="C30" s="19" t="s">
        <v>45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10"/>
      <c r="Q30" s="10">
        <f t="shared" si="1"/>
        <v>0</v>
      </c>
      <c r="R30" s="11">
        <f t="shared" si="2"/>
        <v>0</v>
      </c>
      <c r="S30" s="9"/>
      <c r="T30" s="9"/>
      <c r="U30" s="9"/>
    </row>
    <row r="31" spans="1:21" x14ac:dyDescent="0.35">
      <c r="A31" s="14"/>
      <c r="B31" s="17">
        <f t="shared" si="0"/>
        <v>26</v>
      </c>
      <c r="C31" s="12" t="s">
        <v>46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12"/>
      <c r="Q31" s="12">
        <f t="shared" si="1"/>
        <v>0</v>
      </c>
      <c r="R31" s="13">
        <f t="shared" si="2"/>
        <v>0</v>
      </c>
      <c r="S31" s="9"/>
      <c r="T31" s="9"/>
      <c r="U31" s="9"/>
    </row>
    <row r="32" spans="1:21" x14ac:dyDescent="0.35">
      <c r="A32" s="14"/>
      <c r="B32" s="17">
        <f t="shared" si="0"/>
        <v>27</v>
      </c>
      <c r="C32" s="12" t="s">
        <v>47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12"/>
      <c r="Q32" s="12">
        <f t="shared" si="1"/>
        <v>0</v>
      </c>
      <c r="R32" s="13">
        <f t="shared" si="2"/>
        <v>0</v>
      </c>
      <c r="S32" s="9"/>
      <c r="T32" s="9"/>
      <c r="U32" s="9"/>
    </row>
    <row r="33" spans="1:19" x14ac:dyDescent="0.35">
      <c r="A33" s="14"/>
      <c r="B33" s="17">
        <f t="shared" si="0"/>
        <v>28</v>
      </c>
      <c r="C33" s="12" t="s">
        <v>48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12"/>
      <c r="Q33" s="12">
        <f t="shared" si="1"/>
        <v>0</v>
      </c>
      <c r="R33" s="13">
        <f t="shared" si="2"/>
        <v>0</v>
      </c>
      <c r="S33" s="9"/>
    </row>
    <row r="34" spans="1:19" x14ac:dyDescent="0.35">
      <c r="A34" s="14"/>
      <c r="B34" s="17">
        <f t="shared" si="0"/>
        <v>29</v>
      </c>
      <c r="C34" s="12" t="s">
        <v>49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12"/>
      <c r="Q34" s="12">
        <f t="shared" si="1"/>
        <v>0</v>
      </c>
      <c r="R34" s="13">
        <f t="shared" si="2"/>
        <v>0</v>
      </c>
      <c r="S34" s="9"/>
    </row>
    <row r="35" spans="1:19" x14ac:dyDescent="0.35">
      <c r="A35" s="14"/>
      <c r="B35" s="17">
        <f t="shared" si="0"/>
        <v>30</v>
      </c>
      <c r="C35" s="12" t="s">
        <v>50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12"/>
      <c r="Q35" s="12">
        <f t="shared" si="1"/>
        <v>0</v>
      </c>
      <c r="R35" s="13">
        <f t="shared" si="2"/>
        <v>0</v>
      </c>
      <c r="S35" s="9"/>
    </row>
    <row r="36" spans="1:19" x14ac:dyDescent="0.35">
      <c r="A36" s="14"/>
      <c r="B36" s="17">
        <f t="shared" si="0"/>
        <v>31</v>
      </c>
      <c r="C36" s="12" t="s">
        <v>51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12"/>
      <c r="Q36" s="12">
        <f t="shared" si="1"/>
        <v>0</v>
      </c>
      <c r="R36" s="13">
        <f t="shared" si="2"/>
        <v>0</v>
      </c>
      <c r="S36" s="9"/>
    </row>
    <row r="37" spans="1:19" hidden="1" x14ac:dyDescent="0.35">
      <c r="A37" s="14"/>
      <c r="B37" s="17">
        <f t="shared" si="0"/>
        <v>32</v>
      </c>
      <c r="C37" s="1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12"/>
      <c r="Q37" s="12">
        <f t="shared" si="1"/>
        <v>0</v>
      </c>
      <c r="R37" s="13">
        <f t="shared" si="2"/>
        <v>0</v>
      </c>
      <c r="S37" s="9"/>
    </row>
    <row r="38" spans="1:19" hidden="1" x14ac:dyDescent="0.35">
      <c r="A38" s="14"/>
      <c r="B38" s="17">
        <f t="shared" si="0"/>
        <v>33</v>
      </c>
      <c r="C38" s="1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12"/>
      <c r="Q38" s="12">
        <f t="shared" si="1"/>
        <v>0</v>
      </c>
      <c r="R38" s="13">
        <f t="shared" si="2"/>
        <v>0</v>
      </c>
      <c r="S38" s="9"/>
    </row>
    <row r="39" spans="1:19" hidden="1" x14ac:dyDescent="0.35">
      <c r="A39" s="14"/>
      <c r="B39" s="17">
        <f t="shared" si="0"/>
        <v>34</v>
      </c>
      <c r="C39" s="1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12"/>
      <c r="Q39" s="12">
        <f t="shared" si="1"/>
        <v>0</v>
      </c>
      <c r="R39" s="13">
        <f t="shared" si="2"/>
        <v>0</v>
      </c>
      <c r="S39" s="9"/>
    </row>
    <row r="40" spans="1:19" hidden="1" x14ac:dyDescent="0.35">
      <c r="A40" s="14"/>
      <c r="B40" s="17">
        <f t="shared" si="0"/>
        <v>35</v>
      </c>
      <c r="C40" s="1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12"/>
      <c r="Q40" s="12">
        <f t="shared" si="1"/>
        <v>0</v>
      </c>
      <c r="R40" s="13">
        <f t="shared" si="2"/>
        <v>0</v>
      </c>
      <c r="S40" s="9"/>
    </row>
    <row r="41" spans="1:19" hidden="1" x14ac:dyDescent="0.35">
      <c r="A41" s="14"/>
      <c r="B41" s="17">
        <f t="shared" si="0"/>
        <v>36</v>
      </c>
      <c r="C41" s="1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12"/>
      <c r="Q41" s="12">
        <f t="shared" si="1"/>
        <v>0</v>
      </c>
      <c r="R41" s="13">
        <f t="shared" si="2"/>
        <v>0</v>
      </c>
      <c r="S41" s="9"/>
    </row>
    <row r="42" spans="1:19" hidden="1" x14ac:dyDescent="0.35">
      <c r="A42" s="14"/>
      <c r="B42" s="17">
        <f t="shared" si="0"/>
        <v>37</v>
      </c>
      <c r="C42" s="1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12"/>
      <c r="Q42" s="12">
        <f t="shared" si="1"/>
        <v>0</v>
      </c>
      <c r="R42" s="13">
        <f t="shared" si="2"/>
        <v>0</v>
      </c>
      <c r="S42" s="9"/>
    </row>
    <row r="43" spans="1:19" hidden="1" x14ac:dyDescent="0.35">
      <c r="A43" s="14"/>
      <c r="B43" s="17">
        <f t="shared" si="0"/>
        <v>38</v>
      </c>
      <c r="C43" s="1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12"/>
      <c r="Q43" s="12">
        <f t="shared" si="1"/>
        <v>0</v>
      </c>
      <c r="R43" s="13">
        <f t="shared" si="2"/>
        <v>0</v>
      </c>
      <c r="S43" s="9"/>
    </row>
    <row r="44" spans="1:19" hidden="1" x14ac:dyDescent="0.35">
      <c r="A44" s="14"/>
      <c r="B44" s="17">
        <f t="shared" si="0"/>
        <v>39</v>
      </c>
      <c r="C44" s="1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12"/>
      <c r="Q44" s="12">
        <f t="shared" si="1"/>
        <v>0</v>
      </c>
      <c r="R44" s="13">
        <f t="shared" si="2"/>
        <v>0</v>
      </c>
      <c r="S44" s="9"/>
    </row>
    <row r="45" spans="1:19" hidden="1" x14ac:dyDescent="0.35">
      <c r="A45" s="14"/>
      <c r="B45" s="17">
        <f t="shared" si="0"/>
        <v>40</v>
      </c>
      <c r="C45" s="1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12"/>
      <c r="Q45" s="12">
        <f t="shared" si="1"/>
        <v>0</v>
      </c>
      <c r="R45" s="13">
        <f t="shared" si="2"/>
        <v>0</v>
      </c>
      <c r="S45" s="9"/>
    </row>
    <row r="46" spans="1:19" hidden="1" x14ac:dyDescent="0.35">
      <c r="A46" s="14"/>
      <c r="B46" s="17">
        <f t="shared" si="0"/>
        <v>41</v>
      </c>
      <c r="C46" s="1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12"/>
      <c r="Q46" s="12">
        <f t="shared" si="1"/>
        <v>0</v>
      </c>
      <c r="R46" s="13">
        <f t="shared" si="2"/>
        <v>0</v>
      </c>
      <c r="S46" s="9"/>
    </row>
    <row r="47" spans="1:19" hidden="1" x14ac:dyDescent="0.35">
      <c r="A47" s="14"/>
      <c r="B47" s="17">
        <f t="shared" si="0"/>
        <v>42</v>
      </c>
      <c r="C47" s="1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12"/>
      <c r="Q47" s="12">
        <f t="shared" si="1"/>
        <v>0</v>
      </c>
      <c r="R47" s="13">
        <f t="shared" si="2"/>
        <v>0</v>
      </c>
      <c r="S47" s="9"/>
    </row>
    <row r="48" spans="1:19" hidden="1" x14ac:dyDescent="0.35">
      <c r="A48" s="14"/>
      <c r="B48" s="17">
        <f t="shared" si="0"/>
        <v>43</v>
      </c>
      <c r="C48" s="1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12"/>
      <c r="Q48" s="12">
        <f t="shared" si="1"/>
        <v>0</v>
      </c>
      <c r="R48" s="13">
        <f t="shared" si="2"/>
        <v>0</v>
      </c>
      <c r="S48" s="9"/>
    </row>
    <row r="49" spans="1:19" hidden="1" x14ac:dyDescent="0.35">
      <c r="A49" s="14"/>
      <c r="B49" s="17">
        <f t="shared" si="0"/>
        <v>44</v>
      </c>
      <c r="C49" s="1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12"/>
      <c r="Q49" s="12">
        <f t="shared" si="1"/>
        <v>0</v>
      </c>
      <c r="R49" s="13">
        <f t="shared" si="2"/>
        <v>0</v>
      </c>
      <c r="S49" s="9"/>
    </row>
    <row r="50" spans="1:19" hidden="1" x14ac:dyDescent="0.35">
      <c r="A50" s="14"/>
      <c r="B50" s="17">
        <f t="shared" si="0"/>
        <v>45</v>
      </c>
      <c r="C50" s="1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12"/>
      <c r="Q50" s="12">
        <f t="shared" si="1"/>
        <v>0</v>
      </c>
      <c r="R50" s="13">
        <f t="shared" si="2"/>
        <v>0</v>
      </c>
      <c r="S50" s="9"/>
    </row>
    <row r="51" spans="1:19" hidden="1" x14ac:dyDescent="0.35">
      <c r="A51" s="14"/>
      <c r="B51" s="17">
        <f t="shared" si="0"/>
        <v>46</v>
      </c>
      <c r="C51" s="12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12"/>
      <c r="Q51" s="12">
        <f t="shared" si="1"/>
        <v>0</v>
      </c>
      <c r="R51" s="13">
        <f t="shared" si="2"/>
        <v>0</v>
      </c>
      <c r="S51" s="9"/>
    </row>
    <row r="52" spans="1:19" hidden="1" x14ac:dyDescent="0.35">
      <c r="A52" s="14"/>
      <c r="B52" s="17">
        <f t="shared" si="0"/>
        <v>47</v>
      </c>
      <c r="C52" s="12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12"/>
      <c r="Q52" s="12">
        <f t="shared" si="1"/>
        <v>0</v>
      </c>
      <c r="R52" s="13">
        <f t="shared" si="2"/>
        <v>0</v>
      </c>
      <c r="S52" s="9"/>
    </row>
    <row r="53" spans="1:19" hidden="1" x14ac:dyDescent="0.35">
      <c r="A53" s="14"/>
      <c r="B53" s="17">
        <f t="shared" si="0"/>
        <v>48</v>
      </c>
      <c r="C53" s="1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12"/>
      <c r="Q53" s="12">
        <f t="shared" si="1"/>
        <v>0</v>
      </c>
      <c r="R53" s="13">
        <f t="shared" si="2"/>
        <v>0</v>
      </c>
      <c r="S53" s="9"/>
    </row>
    <row r="54" spans="1:19" x14ac:dyDescent="0.35">
      <c r="A54" s="14"/>
      <c r="B54" s="9"/>
      <c r="C54" s="2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9"/>
      <c r="Q54" s="9"/>
      <c r="R54" s="9"/>
      <c r="S54" s="9"/>
    </row>
    <row r="55" spans="1:19" ht="3" customHeight="1" x14ac:dyDescent="0.3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</row>
  </sheetData>
  <mergeCells count="4">
    <mergeCell ref="A1:C1"/>
    <mergeCell ref="B3:C3"/>
    <mergeCell ref="A2:S2"/>
    <mergeCell ref="A55:S55"/>
  </mergeCells>
  <dataValidations count="1">
    <dataValidation type="list" allowBlank="1" showInputMessage="1" sqref="D6:O53">
      <formula1>$O$3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RowHeight="14.5" x14ac:dyDescent="0.35"/>
  <cols>
    <col min="1" max="1" width="3.453125" customWidth="1"/>
    <col min="2" max="2" width="5" customWidth="1"/>
    <col min="3" max="3" width="18" style="21" customWidth="1"/>
    <col min="4" max="15" width="6" customWidth="1"/>
    <col min="16" max="16" width="14.26953125" customWidth="1"/>
    <col min="17" max="17" width="8.453125" customWidth="1"/>
    <col min="18" max="18" width="16.54296875" customWidth="1"/>
    <col min="19" max="19" width="3.26953125" customWidth="1"/>
    <col min="20" max="20" width="16.26953125" customWidth="1"/>
  </cols>
  <sheetData>
    <row r="1" spans="1:21" ht="21" x14ac:dyDescent="0.5">
      <c r="A1" s="51" t="s">
        <v>0</v>
      </c>
      <c r="B1" s="51"/>
      <c r="C1" s="51"/>
      <c r="F1" s="1"/>
      <c r="G1" s="1"/>
      <c r="H1" s="2"/>
      <c r="I1" s="2"/>
      <c r="J1" s="2"/>
      <c r="K1" s="2"/>
      <c r="L1" s="2"/>
      <c r="M1" s="2"/>
      <c r="N1" s="2"/>
      <c r="O1" s="2"/>
      <c r="P1" s="1"/>
      <c r="Q1" s="1"/>
      <c r="R1" s="1"/>
    </row>
    <row r="2" spans="1:21" ht="3.5" customHeight="1" x14ac:dyDescent="0.3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</row>
    <row r="3" spans="1:21" ht="23.5" x14ac:dyDescent="0.55000000000000004">
      <c r="A3" s="1"/>
      <c r="B3" s="52">
        <v>2026</v>
      </c>
      <c r="C3" s="52"/>
      <c r="D3" s="1"/>
      <c r="E3" s="3"/>
      <c r="F3" s="1"/>
      <c r="G3" s="1"/>
      <c r="H3" s="1"/>
      <c r="I3" s="1"/>
      <c r="J3" s="1"/>
      <c r="K3" s="4" t="s">
        <v>1</v>
      </c>
      <c r="L3" s="1"/>
      <c r="M3" s="5" t="s">
        <v>2</v>
      </c>
      <c r="N3" s="1"/>
      <c r="O3" s="22" t="s">
        <v>3</v>
      </c>
      <c r="P3" s="1"/>
      <c r="Q3" s="1"/>
      <c r="R3" s="6">
        <f>SUM(_202338[Tổng])</f>
        <v>0</v>
      </c>
    </row>
    <row r="4" spans="1:21" ht="6" customHeight="1" x14ac:dyDescent="0.35">
      <c r="A4" s="14"/>
      <c r="B4" s="15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9"/>
    </row>
    <row r="5" spans="1:21" x14ac:dyDescent="0.35">
      <c r="A5" s="16"/>
      <c r="B5" s="7" t="s">
        <v>4</v>
      </c>
      <c r="C5" s="12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  <c r="R5" s="8" t="s">
        <v>20</v>
      </c>
      <c r="S5" s="9"/>
      <c r="T5" s="9"/>
      <c r="U5" s="9"/>
    </row>
    <row r="6" spans="1:21" x14ac:dyDescent="0.35">
      <c r="A6" s="14"/>
      <c r="B6" s="17">
        <f t="shared" ref="B6:B53" si="0">ROW()-5</f>
        <v>1</v>
      </c>
      <c r="C6" s="12" t="s">
        <v>21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10"/>
      <c r="Q6" s="10">
        <f t="shared" ref="Q6:Q53" si="1">COUNTIF(D6:O6,"x")</f>
        <v>0</v>
      </c>
      <c r="R6" s="11">
        <f t="shared" ref="R6:R53" si="2">Q6*50000+P6</f>
        <v>0</v>
      </c>
      <c r="S6" s="9"/>
      <c r="T6" s="9"/>
      <c r="U6" s="9"/>
    </row>
    <row r="7" spans="1:21" x14ac:dyDescent="0.35">
      <c r="A7" s="14"/>
      <c r="B7" s="17">
        <f t="shared" si="0"/>
        <v>2</v>
      </c>
      <c r="C7" s="12" t="s">
        <v>22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10"/>
      <c r="Q7" s="10">
        <f t="shared" si="1"/>
        <v>0</v>
      </c>
      <c r="R7" s="11">
        <f t="shared" si="2"/>
        <v>0</v>
      </c>
      <c r="S7" s="9"/>
      <c r="T7" s="9"/>
      <c r="U7" s="9"/>
    </row>
    <row r="8" spans="1:21" x14ac:dyDescent="0.35">
      <c r="A8" s="14"/>
      <c r="B8" s="17">
        <f t="shared" si="0"/>
        <v>3</v>
      </c>
      <c r="C8" s="12" t="s">
        <v>23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10"/>
      <c r="Q8" s="10">
        <f t="shared" si="1"/>
        <v>0</v>
      </c>
      <c r="R8" s="11">
        <f t="shared" si="2"/>
        <v>0</v>
      </c>
      <c r="S8" s="9"/>
      <c r="T8" s="9"/>
      <c r="U8" s="9"/>
    </row>
    <row r="9" spans="1:21" x14ac:dyDescent="0.35">
      <c r="A9" s="14"/>
      <c r="B9" s="17">
        <f t="shared" si="0"/>
        <v>4</v>
      </c>
      <c r="C9" s="12" t="s">
        <v>24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10"/>
      <c r="Q9" s="10">
        <f t="shared" si="1"/>
        <v>0</v>
      </c>
      <c r="R9" s="11">
        <f t="shared" si="2"/>
        <v>0</v>
      </c>
      <c r="S9" s="9"/>
      <c r="T9" s="9"/>
      <c r="U9" s="9"/>
    </row>
    <row r="10" spans="1:21" x14ac:dyDescent="0.35">
      <c r="A10" s="14"/>
      <c r="B10" s="17">
        <f t="shared" si="0"/>
        <v>5</v>
      </c>
      <c r="C10" s="12" t="s">
        <v>25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10"/>
      <c r="Q10" s="10">
        <f t="shared" si="1"/>
        <v>0</v>
      </c>
      <c r="R10" s="11">
        <f t="shared" si="2"/>
        <v>0</v>
      </c>
      <c r="S10" s="9"/>
      <c r="T10" s="9"/>
      <c r="U10" s="9"/>
    </row>
    <row r="11" spans="1:21" x14ac:dyDescent="0.35">
      <c r="A11" s="14"/>
      <c r="B11" s="17">
        <f t="shared" si="0"/>
        <v>6</v>
      </c>
      <c r="C11" s="12" t="s">
        <v>26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10"/>
      <c r="Q11" s="10">
        <f t="shared" si="1"/>
        <v>0</v>
      </c>
      <c r="R11" s="11">
        <f t="shared" si="2"/>
        <v>0</v>
      </c>
      <c r="S11" s="9"/>
      <c r="T11" s="9"/>
      <c r="U11" s="9"/>
    </row>
    <row r="12" spans="1:21" x14ac:dyDescent="0.35">
      <c r="A12" s="14"/>
      <c r="B12" s="18">
        <f t="shared" si="0"/>
        <v>7</v>
      </c>
      <c r="C12" s="12" t="s">
        <v>27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12"/>
      <c r="Q12" s="12">
        <f t="shared" si="1"/>
        <v>0</v>
      </c>
      <c r="R12" s="13">
        <f t="shared" si="2"/>
        <v>0</v>
      </c>
      <c r="S12" s="9"/>
      <c r="T12" s="9"/>
      <c r="U12" s="9"/>
    </row>
    <row r="13" spans="1:21" x14ac:dyDescent="0.35">
      <c r="A13" s="14"/>
      <c r="B13" s="17">
        <f t="shared" si="0"/>
        <v>8</v>
      </c>
      <c r="C13" s="12" t="s">
        <v>28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10"/>
      <c r="Q13" s="10">
        <f t="shared" si="1"/>
        <v>0</v>
      </c>
      <c r="R13" s="11">
        <f t="shared" si="2"/>
        <v>0</v>
      </c>
      <c r="S13" s="9"/>
      <c r="T13" s="9"/>
      <c r="U13" s="9"/>
    </row>
    <row r="14" spans="1:21" x14ac:dyDescent="0.35">
      <c r="A14" s="14"/>
      <c r="B14" s="17">
        <f t="shared" si="0"/>
        <v>9</v>
      </c>
      <c r="C14" s="12" t="s">
        <v>29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10"/>
      <c r="Q14" s="10">
        <f t="shared" si="1"/>
        <v>0</v>
      </c>
      <c r="R14" s="11">
        <f t="shared" si="2"/>
        <v>0</v>
      </c>
      <c r="S14" s="9"/>
      <c r="T14" s="9"/>
      <c r="U14" s="9"/>
    </row>
    <row r="15" spans="1:21" x14ac:dyDescent="0.35">
      <c r="A15" s="14"/>
      <c r="B15" s="17">
        <f t="shared" si="0"/>
        <v>10</v>
      </c>
      <c r="C15" s="12" t="s">
        <v>30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10"/>
      <c r="Q15" s="10">
        <f t="shared" si="1"/>
        <v>0</v>
      </c>
      <c r="R15" s="11">
        <f t="shared" si="2"/>
        <v>0</v>
      </c>
      <c r="S15" s="9"/>
      <c r="T15" s="9"/>
      <c r="U15" s="9"/>
    </row>
    <row r="16" spans="1:21" x14ac:dyDescent="0.35">
      <c r="A16" s="14"/>
      <c r="B16" s="17">
        <f t="shared" si="0"/>
        <v>11</v>
      </c>
      <c r="C16" s="19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10"/>
      <c r="Q16" s="10">
        <f t="shared" si="1"/>
        <v>0</v>
      </c>
      <c r="R16" s="11">
        <f t="shared" si="2"/>
        <v>0</v>
      </c>
      <c r="S16" s="9"/>
      <c r="T16" s="9"/>
      <c r="U16" s="9"/>
    </row>
    <row r="17" spans="1:21" x14ac:dyDescent="0.35">
      <c r="A17" s="14"/>
      <c r="B17" s="17">
        <f t="shared" si="0"/>
        <v>12</v>
      </c>
      <c r="C17" s="12" t="s">
        <v>32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10"/>
      <c r="Q17" s="10">
        <f t="shared" si="1"/>
        <v>0</v>
      </c>
      <c r="R17" s="11">
        <f t="shared" si="2"/>
        <v>0</v>
      </c>
      <c r="S17" s="9"/>
      <c r="T17" s="9"/>
      <c r="U17" s="9"/>
    </row>
    <row r="18" spans="1:21" x14ac:dyDescent="0.35">
      <c r="A18" s="14"/>
      <c r="B18" s="17">
        <f t="shared" si="0"/>
        <v>13</v>
      </c>
      <c r="C18" s="19" t="s">
        <v>33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10"/>
      <c r="Q18" s="10">
        <f t="shared" si="1"/>
        <v>0</v>
      </c>
      <c r="R18" s="11">
        <f t="shared" si="2"/>
        <v>0</v>
      </c>
      <c r="S18" s="9"/>
      <c r="T18" s="9"/>
      <c r="U18" s="9"/>
    </row>
    <row r="19" spans="1:21" x14ac:dyDescent="0.35">
      <c r="A19" s="14"/>
      <c r="B19" s="17">
        <f t="shared" si="0"/>
        <v>14</v>
      </c>
      <c r="C19" s="12" t="s">
        <v>34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10"/>
      <c r="Q19" s="10">
        <f t="shared" si="1"/>
        <v>0</v>
      </c>
      <c r="R19" s="11">
        <f t="shared" si="2"/>
        <v>0</v>
      </c>
      <c r="S19" s="9"/>
      <c r="T19" s="9"/>
      <c r="U19" s="9"/>
    </row>
    <row r="20" spans="1:21" x14ac:dyDescent="0.35">
      <c r="A20" s="14"/>
      <c r="B20" s="17">
        <f t="shared" si="0"/>
        <v>15</v>
      </c>
      <c r="C20" s="12" t="s">
        <v>35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10"/>
      <c r="Q20" s="10">
        <f t="shared" si="1"/>
        <v>0</v>
      </c>
      <c r="R20" s="11">
        <f t="shared" si="2"/>
        <v>0</v>
      </c>
      <c r="S20" s="9"/>
      <c r="T20" s="9"/>
      <c r="U20" s="9"/>
    </row>
    <row r="21" spans="1:21" x14ac:dyDescent="0.35">
      <c r="A21" s="14"/>
      <c r="B21" s="17">
        <f t="shared" si="0"/>
        <v>16</v>
      </c>
      <c r="C21" s="12" t="s">
        <v>36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10"/>
      <c r="Q21" s="10">
        <f t="shared" si="1"/>
        <v>0</v>
      </c>
      <c r="R21" s="11">
        <f t="shared" si="2"/>
        <v>0</v>
      </c>
      <c r="S21" s="9"/>
      <c r="T21" s="9"/>
      <c r="U21" s="9"/>
    </row>
    <row r="22" spans="1:21" x14ac:dyDescent="0.35">
      <c r="A22" s="14"/>
      <c r="B22" s="17">
        <f t="shared" si="0"/>
        <v>17</v>
      </c>
      <c r="C22" s="19" t="s">
        <v>37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10"/>
      <c r="Q22" s="10">
        <f t="shared" si="1"/>
        <v>0</v>
      </c>
      <c r="R22" s="11">
        <f t="shared" si="2"/>
        <v>0</v>
      </c>
      <c r="S22" s="9"/>
      <c r="T22" s="9"/>
      <c r="U22" s="9"/>
    </row>
    <row r="23" spans="1:21" x14ac:dyDescent="0.35">
      <c r="A23" s="14"/>
      <c r="B23" s="17">
        <f t="shared" si="0"/>
        <v>18</v>
      </c>
      <c r="C23" s="19" t="s">
        <v>38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10"/>
      <c r="Q23" s="10">
        <f t="shared" si="1"/>
        <v>0</v>
      </c>
      <c r="R23" s="11">
        <f t="shared" si="2"/>
        <v>0</v>
      </c>
      <c r="S23" s="9"/>
      <c r="T23" s="9"/>
      <c r="U23" s="9"/>
    </row>
    <row r="24" spans="1:21" x14ac:dyDescent="0.35">
      <c r="A24" s="14"/>
      <c r="B24" s="17">
        <f t="shared" si="0"/>
        <v>19</v>
      </c>
      <c r="C24" s="19" t="s">
        <v>39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10"/>
      <c r="Q24" s="10">
        <f t="shared" si="1"/>
        <v>0</v>
      </c>
      <c r="R24" s="11">
        <f t="shared" si="2"/>
        <v>0</v>
      </c>
      <c r="S24" s="9"/>
      <c r="T24" s="9"/>
      <c r="U24" s="9"/>
    </row>
    <row r="25" spans="1:21" x14ac:dyDescent="0.35">
      <c r="A25" s="14"/>
      <c r="B25" s="17">
        <f t="shared" si="0"/>
        <v>20</v>
      </c>
      <c r="C25" s="19" t="s">
        <v>40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10"/>
      <c r="Q25" s="10">
        <f t="shared" si="1"/>
        <v>0</v>
      </c>
      <c r="R25" s="11">
        <f t="shared" si="2"/>
        <v>0</v>
      </c>
      <c r="S25" s="9"/>
      <c r="T25" s="9"/>
      <c r="U25" s="9"/>
    </row>
    <row r="26" spans="1:21" x14ac:dyDescent="0.35">
      <c r="A26" s="14"/>
      <c r="B26" s="17">
        <f t="shared" si="0"/>
        <v>21</v>
      </c>
      <c r="C26" s="19" t="s">
        <v>41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10"/>
      <c r="Q26" s="10">
        <f t="shared" si="1"/>
        <v>0</v>
      </c>
      <c r="R26" s="11">
        <f t="shared" si="2"/>
        <v>0</v>
      </c>
      <c r="S26" s="9"/>
      <c r="T26" s="9"/>
      <c r="U26" s="9"/>
    </row>
    <row r="27" spans="1:21" x14ac:dyDescent="0.35">
      <c r="A27" s="14"/>
      <c r="B27" s="17">
        <f t="shared" si="0"/>
        <v>22</v>
      </c>
      <c r="C27" s="19" t="s">
        <v>42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10"/>
      <c r="Q27" s="10">
        <f t="shared" si="1"/>
        <v>0</v>
      </c>
      <c r="R27" s="11">
        <f t="shared" si="2"/>
        <v>0</v>
      </c>
      <c r="S27" s="9"/>
      <c r="T27" s="9"/>
      <c r="U27" s="9"/>
    </row>
    <row r="28" spans="1:21" x14ac:dyDescent="0.35">
      <c r="A28" s="14"/>
      <c r="B28" s="17">
        <f t="shared" si="0"/>
        <v>23</v>
      </c>
      <c r="C28" s="19" t="s">
        <v>43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10"/>
      <c r="Q28" s="10">
        <f t="shared" si="1"/>
        <v>0</v>
      </c>
      <c r="R28" s="11">
        <f t="shared" si="2"/>
        <v>0</v>
      </c>
      <c r="S28" s="9"/>
      <c r="T28" s="9"/>
      <c r="U28" s="9"/>
    </row>
    <row r="29" spans="1:21" x14ac:dyDescent="0.35">
      <c r="A29" s="14"/>
      <c r="B29" s="17">
        <f t="shared" si="0"/>
        <v>24</v>
      </c>
      <c r="C29" s="19" t="s">
        <v>44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10"/>
      <c r="Q29" s="10">
        <f t="shared" si="1"/>
        <v>0</v>
      </c>
      <c r="R29" s="11">
        <f t="shared" si="2"/>
        <v>0</v>
      </c>
      <c r="S29" s="9"/>
      <c r="T29" s="9"/>
      <c r="U29" s="9"/>
    </row>
    <row r="30" spans="1:21" x14ac:dyDescent="0.35">
      <c r="A30" s="14"/>
      <c r="B30" s="17">
        <f t="shared" si="0"/>
        <v>25</v>
      </c>
      <c r="C30" s="19" t="s">
        <v>45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10"/>
      <c r="Q30" s="10">
        <f t="shared" si="1"/>
        <v>0</v>
      </c>
      <c r="R30" s="11">
        <f t="shared" si="2"/>
        <v>0</v>
      </c>
      <c r="S30" s="9"/>
      <c r="T30" s="9"/>
      <c r="U30" s="9"/>
    </row>
    <row r="31" spans="1:21" x14ac:dyDescent="0.35">
      <c r="A31" s="14"/>
      <c r="B31" s="17">
        <f t="shared" si="0"/>
        <v>26</v>
      </c>
      <c r="C31" s="12" t="s">
        <v>46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12"/>
      <c r="Q31" s="12">
        <f t="shared" si="1"/>
        <v>0</v>
      </c>
      <c r="R31" s="13">
        <f t="shared" si="2"/>
        <v>0</v>
      </c>
      <c r="S31" s="9"/>
      <c r="T31" s="9"/>
      <c r="U31" s="9"/>
    </row>
    <row r="32" spans="1:21" x14ac:dyDescent="0.35">
      <c r="A32" s="14"/>
      <c r="B32" s="17">
        <f t="shared" si="0"/>
        <v>27</v>
      </c>
      <c r="C32" s="12" t="s">
        <v>47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12"/>
      <c r="Q32" s="12">
        <f t="shared" si="1"/>
        <v>0</v>
      </c>
      <c r="R32" s="13">
        <f t="shared" si="2"/>
        <v>0</v>
      </c>
      <c r="S32" s="9"/>
      <c r="T32" s="9"/>
      <c r="U32" s="9"/>
    </row>
    <row r="33" spans="1:19" x14ac:dyDescent="0.35">
      <c r="A33" s="14"/>
      <c r="B33" s="17">
        <f t="shared" si="0"/>
        <v>28</v>
      </c>
      <c r="C33" s="12" t="s">
        <v>48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12"/>
      <c r="Q33" s="12">
        <f t="shared" si="1"/>
        <v>0</v>
      </c>
      <c r="R33" s="13">
        <f t="shared" si="2"/>
        <v>0</v>
      </c>
      <c r="S33" s="9"/>
    </row>
    <row r="34" spans="1:19" x14ac:dyDescent="0.35">
      <c r="A34" s="14"/>
      <c r="B34" s="17">
        <f t="shared" si="0"/>
        <v>29</v>
      </c>
      <c r="C34" s="12" t="s">
        <v>49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12"/>
      <c r="Q34" s="12">
        <f t="shared" si="1"/>
        <v>0</v>
      </c>
      <c r="R34" s="13">
        <f t="shared" si="2"/>
        <v>0</v>
      </c>
      <c r="S34" s="9"/>
    </row>
    <row r="35" spans="1:19" x14ac:dyDescent="0.35">
      <c r="A35" s="14"/>
      <c r="B35" s="17">
        <f t="shared" si="0"/>
        <v>30</v>
      </c>
      <c r="C35" s="12" t="s">
        <v>50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12"/>
      <c r="Q35" s="12">
        <f t="shared" si="1"/>
        <v>0</v>
      </c>
      <c r="R35" s="13">
        <f t="shared" si="2"/>
        <v>0</v>
      </c>
      <c r="S35" s="9"/>
    </row>
    <row r="36" spans="1:19" x14ac:dyDescent="0.35">
      <c r="A36" s="14"/>
      <c r="B36" s="17">
        <f t="shared" si="0"/>
        <v>31</v>
      </c>
      <c r="C36" s="12" t="s">
        <v>51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12"/>
      <c r="Q36" s="12">
        <f t="shared" si="1"/>
        <v>0</v>
      </c>
      <c r="R36" s="13">
        <f t="shared" si="2"/>
        <v>0</v>
      </c>
      <c r="S36" s="9"/>
    </row>
    <row r="37" spans="1:19" hidden="1" x14ac:dyDescent="0.35">
      <c r="A37" s="14"/>
      <c r="B37" s="17">
        <f t="shared" si="0"/>
        <v>32</v>
      </c>
      <c r="C37" s="1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12"/>
      <c r="Q37" s="12">
        <f t="shared" si="1"/>
        <v>0</v>
      </c>
      <c r="R37" s="13">
        <f t="shared" si="2"/>
        <v>0</v>
      </c>
      <c r="S37" s="9"/>
    </row>
    <row r="38" spans="1:19" hidden="1" x14ac:dyDescent="0.35">
      <c r="A38" s="14"/>
      <c r="B38" s="17">
        <f t="shared" si="0"/>
        <v>33</v>
      </c>
      <c r="C38" s="1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12"/>
      <c r="Q38" s="12">
        <f t="shared" si="1"/>
        <v>0</v>
      </c>
      <c r="R38" s="13">
        <f t="shared" si="2"/>
        <v>0</v>
      </c>
      <c r="S38" s="9"/>
    </row>
    <row r="39" spans="1:19" hidden="1" x14ac:dyDescent="0.35">
      <c r="A39" s="14"/>
      <c r="B39" s="17">
        <f t="shared" si="0"/>
        <v>34</v>
      </c>
      <c r="C39" s="1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12"/>
      <c r="Q39" s="12">
        <f t="shared" si="1"/>
        <v>0</v>
      </c>
      <c r="R39" s="13">
        <f t="shared" si="2"/>
        <v>0</v>
      </c>
      <c r="S39" s="9"/>
    </row>
    <row r="40" spans="1:19" hidden="1" x14ac:dyDescent="0.35">
      <c r="A40" s="14"/>
      <c r="B40" s="17">
        <f t="shared" si="0"/>
        <v>35</v>
      </c>
      <c r="C40" s="1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12"/>
      <c r="Q40" s="12">
        <f t="shared" si="1"/>
        <v>0</v>
      </c>
      <c r="R40" s="13">
        <f t="shared" si="2"/>
        <v>0</v>
      </c>
      <c r="S40" s="9"/>
    </row>
    <row r="41" spans="1:19" hidden="1" x14ac:dyDescent="0.35">
      <c r="A41" s="14"/>
      <c r="B41" s="17">
        <f t="shared" si="0"/>
        <v>36</v>
      </c>
      <c r="C41" s="1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12"/>
      <c r="Q41" s="12">
        <f t="shared" si="1"/>
        <v>0</v>
      </c>
      <c r="R41" s="13">
        <f t="shared" si="2"/>
        <v>0</v>
      </c>
      <c r="S41" s="9"/>
    </row>
    <row r="42" spans="1:19" hidden="1" x14ac:dyDescent="0.35">
      <c r="A42" s="14"/>
      <c r="B42" s="17">
        <f t="shared" si="0"/>
        <v>37</v>
      </c>
      <c r="C42" s="1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12"/>
      <c r="Q42" s="12">
        <f t="shared" si="1"/>
        <v>0</v>
      </c>
      <c r="R42" s="13">
        <f t="shared" si="2"/>
        <v>0</v>
      </c>
      <c r="S42" s="9"/>
    </row>
    <row r="43" spans="1:19" hidden="1" x14ac:dyDescent="0.35">
      <c r="A43" s="14"/>
      <c r="B43" s="17">
        <f t="shared" si="0"/>
        <v>38</v>
      </c>
      <c r="C43" s="1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12"/>
      <c r="Q43" s="12">
        <f t="shared" si="1"/>
        <v>0</v>
      </c>
      <c r="R43" s="13">
        <f t="shared" si="2"/>
        <v>0</v>
      </c>
      <c r="S43" s="9"/>
    </row>
    <row r="44" spans="1:19" hidden="1" x14ac:dyDescent="0.35">
      <c r="A44" s="14"/>
      <c r="B44" s="17">
        <f t="shared" si="0"/>
        <v>39</v>
      </c>
      <c r="C44" s="1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12"/>
      <c r="Q44" s="12">
        <f t="shared" si="1"/>
        <v>0</v>
      </c>
      <c r="R44" s="13">
        <f t="shared" si="2"/>
        <v>0</v>
      </c>
      <c r="S44" s="9"/>
    </row>
    <row r="45" spans="1:19" hidden="1" x14ac:dyDescent="0.35">
      <c r="A45" s="14"/>
      <c r="B45" s="17">
        <f t="shared" si="0"/>
        <v>40</v>
      </c>
      <c r="C45" s="1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12"/>
      <c r="Q45" s="12">
        <f t="shared" si="1"/>
        <v>0</v>
      </c>
      <c r="R45" s="13">
        <f t="shared" si="2"/>
        <v>0</v>
      </c>
      <c r="S45" s="9"/>
    </row>
    <row r="46" spans="1:19" hidden="1" x14ac:dyDescent="0.35">
      <c r="A46" s="14"/>
      <c r="B46" s="17">
        <f t="shared" si="0"/>
        <v>41</v>
      </c>
      <c r="C46" s="1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12"/>
      <c r="Q46" s="12">
        <f t="shared" si="1"/>
        <v>0</v>
      </c>
      <c r="R46" s="13">
        <f t="shared" si="2"/>
        <v>0</v>
      </c>
      <c r="S46" s="9"/>
    </row>
    <row r="47" spans="1:19" hidden="1" x14ac:dyDescent="0.35">
      <c r="A47" s="14"/>
      <c r="B47" s="17">
        <f t="shared" si="0"/>
        <v>42</v>
      </c>
      <c r="C47" s="1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12"/>
      <c r="Q47" s="12">
        <f t="shared" si="1"/>
        <v>0</v>
      </c>
      <c r="R47" s="13">
        <f t="shared" si="2"/>
        <v>0</v>
      </c>
      <c r="S47" s="9"/>
    </row>
    <row r="48" spans="1:19" hidden="1" x14ac:dyDescent="0.35">
      <c r="A48" s="14"/>
      <c r="B48" s="17">
        <f t="shared" si="0"/>
        <v>43</v>
      </c>
      <c r="C48" s="1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12"/>
      <c r="Q48" s="12">
        <f t="shared" si="1"/>
        <v>0</v>
      </c>
      <c r="R48" s="13">
        <f t="shared" si="2"/>
        <v>0</v>
      </c>
      <c r="S48" s="9"/>
    </row>
    <row r="49" spans="1:19" hidden="1" x14ac:dyDescent="0.35">
      <c r="A49" s="14"/>
      <c r="B49" s="17">
        <f t="shared" si="0"/>
        <v>44</v>
      </c>
      <c r="C49" s="1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12"/>
      <c r="Q49" s="12">
        <f t="shared" si="1"/>
        <v>0</v>
      </c>
      <c r="R49" s="13">
        <f t="shared" si="2"/>
        <v>0</v>
      </c>
      <c r="S49" s="9"/>
    </row>
    <row r="50" spans="1:19" hidden="1" x14ac:dyDescent="0.35">
      <c r="A50" s="14"/>
      <c r="B50" s="17">
        <f t="shared" si="0"/>
        <v>45</v>
      </c>
      <c r="C50" s="1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12"/>
      <c r="Q50" s="12">
        <f t="shared" si="1"/>
        <v>0</v>
      </c>
      <c r="R50" s="13">
        <f t="shared" si="2"/>
        <v>0</v>
      </c>
      <c r="S50" s="9"/>
    </row>
    <row r="51" spans="1:19" hidden="1" x14ac:dyDescent="0.35">
      <c r="A51" s="14"/>
      <c r="B51" s="17">
        <f t="shared" si="0"/>
        <v>46</v>
      </c>
      <c r="C51" s="12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12"/>
      <c r="Q51" s="12">
        <f t="shared" si="1"/>
        <v>0</v>
      </c>
      <c r="R51" s="13">
        <f t="shared" si="2"/>
        <v>0</v>
      </c>
      <c r="S51" s="9"/>
    </row>
    <row r="52" spans="1:19" hidden="1" x14ac:dyDescent="0.35">
      <c r="A52" s="14"/>
      <c r="B52" s="17">
        <f t="shared" si="0"/>
        <v>47</v>
      </c>
      <c r="C52" s="12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12"/>
      <c r="Q52" s="12">
        <f t="shared" si="1"/>
        <v>0</v>
      </c>
      <c r="R52" s="13">
        <f t="shared" si="2"/>
        <v>0</v>
      </c>
      <c r="S52" s="9"/>
    </row>
    <row r="53" spans="1:19" hidden="1" x14ac:dyDescent="0.35">
      <c r="A53" s="14"/>
      <c r="B53" s="17">
        <f t="shared" si="0"/>
        <v>48</v>
      </c>
      <c r="C53" s="1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12"/>
      <c r="Q53" s="12">
        <f t="shared" si="1"/>
        <v>0</v>
      </c>
      <c r="R53" s="13">
        <f t="shared" si="2"/>
        <v>0</v>
      </c>
      <c r="S53" s="9"/>
    </row>
    <row r="54" spans="1:19" x14ac:dyDescent="0.35">
      <c r="A54" s="14"/>
      <c r="B54" s="9"/>
      <c r="C54" s="2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9"/>
      <c r="Q54" s="9"/>
      <c r="R54" s="9"/>
      <c r="S54" s="9"/>
    </row>
    <row r="55" spans="1:19" ht="3" customHeight="1" x14ac:dyDescent="0.3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</row>
  </sheetData>
  <mergeCells count="4">
    <mergeCell ref="A1:C1"/>
    <mergeCell ref="B3:C3"/>
    <mergeCell ref="A2:S2"/>
    <mergeCell ref="A55:S55"/>
  </mergeCells>
  <dataValidations count="1">
    <dataValidation type="list" allowBlank="1" showInputMessage="1" sqref="D6:O53">
      <formula1>$O$3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RowHeight="14.5" x14ac:dyDescent="0.35"/>
  <cols>
    <col min="1" max="1" width="3.453125" customWidth="1"/>
    <col min="2" max="2" width="5" customWidth="1"/>
    <col min="3" max="3" width="18" style="21" customWidth="1"/>
    <col min="4" max="15" width="6" customWidth="1"/>
    <col min="16" max="16" width="14.26953125" customWidth="1"/>
    <col min="17" max="17" width="8.453125" customWidth="1"/>
    <col min="18" max="18" width="16.54296875" customWidth="1"/>
    <col min="19" max="19" width="3.26953125" customWidth="1"/>
    <col min="20" max="20" width="16.26953125" customWidth="1"/>
  </cols>
  <sheetData>
    <row r="1" spans="1:21" ht="21" x14ac:dyDescent="0.5">
      <c r="A1" s="51" t="s">
        <v>0</v>
      </c>
      <c r="B1" s="51"/>
      <c r="C1" s="51"/>
      <c r="F1" s="1"/>
      <c r="G1" s="1"/>
      <c r="H1" s="2"/>
      <c r="I1" s="2"/>
      <c r="J1" s="2"/>
      <c r="K1" s="2"/>
      <c r="L1" s="2"/>
      <c r="M1" s="2"/>
      <c r="N1" s="2"/>
      <c r="O1" s="2"/>
      <c r="P1" s="1"/>
      <c r="Q1" s="1"/>
      <c r="R1" s="1"/>
    </row>
    <row r="2" spans="1:21" ht="3.5" customHeight="1" x14ac:dyDescent="0.3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</row>
    <row r="3" spans="1:21" ht="23.5" x14ac:dyDescent="0.55000000000000004">
      <c r="A3" s="1"/>
      <c r="B3" s="52">
        <v>2027</v>
      </c>
      <c r="C3" s="52"/>
      <c r="D3" s="1"/>
      <c r="E3" s="3"/>
      <c r="F3" s="1"/>
      <c r="G3" s="1"/>
      <c r="H3" s="1"/>
      <c r="I3" s="1"/>
      <c r="J3" s="1"/>
      <c r="K3" s="4" t="s">
        <v>1</v>
      </c>
      <c r="L3" s="1"/>
      <c r="M3" s="5" t="s">
        <v>2</v>
      </c>
      <c r="N3" s="1"/>
      <c r="O3" s="22" t="s">
        <v>3</v>
      </c>
      <c r="P3" s="1"/>
      <c r="Q3" s="1"/>
      <c r="R3" s="6">
        <f>SUM(_202339[Tổng])</f>
        <v>0</v>
      </c>
    </row>
    <row r="4" spans="1:21" ht="6" customHeight="1" x14ac:dyDescent="0.35">
      <c r="A4" s="14"/>
      <c r="B4" s="15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9"/>
    </row>
    <row r="5" spans="1:21" x14ac:dyDescent="0.35">
      <c r="A5" s="16"/>
      <c r="B5" s="7" t="s">
        <v>4</v>
      </c>
      <c r="C5" s="12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  <c r="R5" s="8" t="s">
        <v>20</v>
      </c>
      <c r="S5" s="9"/>
      <c r="T5" s="9"/>
      <c r="U5" s="9"/>
    </row>
    <row r="6" spans="1:21" x14ac:dyDescent="0.35">
      <c r="A6" s="14"/>
      <c r="B6" s="17">
        <f t="shared" ref="B6:B53" si="0">ROW()-5</f>
        <v>1</v>
      </c>
      <c r="C6" s="12" t="s">
        <v>21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10"/>
      <c r="Q6" s="10">
        <f t="shared" ref="Q6:Q53" si="1">COUNTIF(D6:O6,"x")</f>
        <v>0</v>
      </c>
      <c r="R6" s="11">
        <f t="shared" ref="R6:R53" si="2">Q6*50000+P6</f>
        <v>0</v>
      </c>
      <c r="S6" s="9"/>
      <c r="T6" s="9"/>
      <c r="U6" s="9"/>
    </row>
    <row r="7" spans="1:21" x14ac:dyDescent="0.35">
      <c r="A7" s="14"/>
      <c r="B7" s="17">
        <f t="shared" si="0"/>
        <v>2</v>
      </c>
      <c r="C7" s="12" t="s">
        <v>22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10"/>
      <c r="Q7" s="10">
        <f t="shared" si="1"/>
        <v>0</v>
      </c>
      <c r="R7" s="11">
        <f t="shared" si="2"/>
        <v>0</v>
      </c>
      <c r="S7" s="9"/>
      <c r="T7" s="9"/>
      <c r="U7" s="9"/>
    </row>
    <row r="8" spans="1:21" x14ac:dyDescent="0.35">
      <c r="A8" s="14"/>
      <c r="B8" s="17">
        <f t="shared" si="0"/>
        <v>3</v>
      </c>
      <c r="C8" s="12" t="s">
        <v>23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10"/>
      <c r="Q8" s="10">
        <f t="shared" si="1"/>
        <v>0</v>
      </c>
      <c r="R8" s="11">
        <f t="shared" si="2"/>
        <v>0</v>
      </c>
      <c r="S8" s="9"/>
      <c r="T8" s="9"/>
      <c r="U8" s="9"/>
    </row>
    <row r="9" spans="1:21" x14ac:dyDescent="0.35">
      <c r="A9" s="14"/>
      <c r="B9" s="17">
        <f t="shared" si="0"/>
        <v>4</v>
      </c>
      <c r="C9" s="12" t="s">
        <v>24</v>
      </c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10"/>
      <c r="Q9" s="10">
        <f t="shared" si="1"/>
        <v>0</v>
      </c>
      <c r="R9" s="11">
        <f t="shared" si="2"/>
        <v>0</v>
      </c>
      <c r="S9" s="9"/>
      <c r="T9" s="9"/>
      <c r="U9" s="9"/>
    </row>
    <row r="10" spans="1:21" x14ac:dyDescent="0.35">
      <c r="A10" s="14"/>
      <c r="B10" s="17">
        <f t="shared" si="0"/>
        <v>5</v>
      </c>
      <c r="C10" s="12" t="s">
        <v>25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10"/>
      <c r="Q10" s="10">
        <f t="shared" si="1"/>
        <v>0</v>
      </c>
      <c r="R10" s="11">
        <f t="shared" si="2"/>
        <v>0</v>
      </c>
      <c r="S10" s="9"/>
      <c r="T10" s="9"/>
      <c r="U10" s="9"/>
    </row>
    <row r="11" spans="1:21" x14ac:dyDescent="0.35">
      <c r="A11" s="14"/>
      <c r="B11" s="17">
        <f t="shared" si="0"/>
        <v>6</v>
      </c>
      <c r="C11" s="12" t="s">
        <v>26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10"/>
      <c r="Q11" s="10">
        <f t="shared" si="1"/>
        <v>0</v>
      </c>
      <c r="R11" s="11">
        <f t="shared" si="2"/>
        <v>0</v>
      </c>
      <c r="S11" s="9"/>
      <c r="T11" s="9"/>
      <c r="U11" s="9"/>
    </row>
    <row r="12" spans="1:21" x14ac:dyDescent="0.35">
      <c r="A12" s="14"/>
      <c r="B12" s="18">
        <f t="shared" si="0"/>
        <v>7</v>
      </c>
      <c r="C12" s="12" t="s">
        <v>27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12"/>
      <c r="Q12" s="12">
        <f t="shared" si="1"/>
        <v>0</v>
      </c>
      <c r="R12" s="13">
        <f t="shared" si="2"/>
        <v>0</v>
      </c>
      <c r="S12" s="9"/>
      <c r="T12" s="9"/>
      <c r="U12" s="9"/>
    </row>
    <row r="13" spans="1:21" x14ac:dyDescent="0.35">
      <c r="A13" s="14"/>
      <c r="B13" s="17">
        <f t="shared" si="0"/>
        <v>8</v>
      </c>
      <c r="C13" s="12" t="s">
        <v>28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10"/>
      <c r="Q13" s="10">
        <f t="shared" si="1"/>
        <v>0</v>
      </c>
      <c r="R13" s="11">
        <f t="shared" si="2"/>
        <v>0</v>
      </c>
      <c r="S13" s="9"/>
      <c r="T13" s="9"/>
      <c r="U13" s="9"/>
    </row>
    <row r="14" spans="1:21" x14ac:dyDescent="0.35">
      <c r="A14" s="14"/>
      <c r="B14" s="17">
        <f t="shared" si="0"/>
        <v>9</v>
      </c>
      <c r="C14" s="12" t="s">
        <v>29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10"/>
      <c r="Q14" s="10">
        <f t="shared" si="1"/>
        <v>0</v>
      </c>
      <c r="R14" s="11">
        <f t="shared" si="2"/>
        <v>0</v>
      </c>
      <c r="S14" s="9"/>
      <c r="T14" s="9"/>
      <c r="U14" s="9"/>
    </row>
    <row r="15" spans="1:21" x14ac:dyDescent="0.35">
      <c r="A15" s="14"/>
      <c r="B15" s="17">
        <f t="shared" si="0"/>
        <v>10</v>
      </c>
      <c r="C15" s="12" t="s">
        <v>30</v>
      </c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10"/>
      <c r="Q15" s="10">
        <f t="shared" si="1"/>
        <v>0</v>
      </c>
      <c r="R15" s="11">
        <f t="shared" si="2"/>
        <v>0</v>
      </c>
      <c r="S15" s="9"/>
      <c r="T15" s="9"/>
      <c r="U15" s="9"/>
    </row>
    <row r="16" spans="1:21" x14ac:dyDescent="0.35">
      <c r="A16" s="14"/>
      <c r="B16" s="17">
        <f t="shared" si="0"/>
        <v>11</v>
      </c>
      <c r="C16" s="19" t="s">
        <v>31</v>
      </c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10"/>
      <c r="Q16" s="10">
        <f t="shared" si="1"/>
        <v>0</v>
      </c>
      <c r="R16" s="11">
        <f t="shared" si="2"/>
        <v>0</v>
      </c>
      <c r="S16" s="9"/>
      <c r="T16" s="9"/>
      <c r="U16" s="9"/>
    </row>
    <row r="17" spans="1:21" x14ac:dyDescent="0.35">
      <c r="A17" s="14"/>
      <c r="B17" s="17">
        <f t="shared" si="0"/>
        <v>12</v>
      </c>
      <c r="C17" s="12" t="s">
        <v>32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10"/>
      <c r="Q17" s="10">
        <f t="shared" si="1"/>
        <v>0</v>
      </c>
      <c r="R17" s="11">
        <f t="shared" si="2"/>
        <v>0</v>
      </c>
      <c r="S17" s="9"/>
      <c r="T17" s="9"/>
      <c r="U17" s="9"/>
    </row>
    <row r="18" spans="1:21" x14ac:dyDescent="0.35">
      <c r="A18" s="14"/>
      <c r="B18" s="17">
        <f t="shared" si="0"/>
        <v>13</v>
      </c>
      <c r="C18" s="19" t="s">
        <v>33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10"/>
      <c r="Q18" s="10">
        <f t="shared" si="1"/>
        <v>0</v>
      </c>
      <c r="R18" s="11">
        <f t="shared" si="2"/>
        <v>0</v>
      </c>
      <c r="S18" s="9"/>
      <c r="T18" s="9"/>
      <c r="U18" s="9"/>
    </row>
    <row r="19" spans="1:21" x14ac:dyDescent="0.35">
      <c r="A19" s="14"/>
      <c r="B19" s="17">
        <f t="shared" si="0"/>
        <v>14</v>
      </c>
      <c r="C19" s="12" t="s">
        <v>34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10"/>
      <c r="Q19" s="10">
        <f t="shared" si="1"/>
        <v>0</v>
      </c>
      <c r="R19" s="11">
        <f t="shared" si="2"/>
        <v>0</v>
      </c>
      <c r="S19" s="9"/>
      <c r="T19" s="9"/>
      <c r="U19" s="9"/>
    </row>
    <row r="20" spans="1:21" x14ac:dyDescent="0.35">
      <c r="A20" s="14"/>
      <c r="B20" s="17">
        <f t="shared" si="0"/>
        <v>15</v>
      </c>
      <c r="C20" s="12" t="s">
        <v>35</v>
      </c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10"/>
      <c r="Q20" s="10">
        <f t="shared" si="1"/>
        <v>0</v>
      </c>
      <c r="R20" s="11">
        <f t="shared" si="2"/>
        <v>0</v>
      </c>
      <c r="S20" s="9"/>
      <c r="T20" s="9"/>
      <c r="U20" s="9"/>
    </row>
    <row r="21" spans="1:21" x14ac:dyDescent="0.35">
      <c r="A21" s="14"/>
      <c r="B21" s="17">
        <f t="shared" si="0"/>
        <v>16</v>
      </c>
      <c r="C21" s="12" t="s">
        <v>36</v>
      </c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10"/>
      <c r="Q21" s="10">
        <f t="shared" si="1"/>
        <v>0</v>
      </c>
      <c r="R21" s="11">
        <f t="shared" si="2"/>
        <v>0</v>
      </c>
      <c r="S21" s="9"/>
      <c r="T21" s="9"/>
      <c r="U21" s="9"/>
    </row>
    <row r="22" spans="1:21" x14ac:dyDescent="0.35">
      <c r="A22" s="14"/>
      <c r="B22" s="17">
        <f t="shared" si="0"/>
        <v>17</v>
      </c>
      <c r="C22" s="19" t="s">
        <v>37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10"/>
      <c r="Q22" s="10">
        <f t="shared" si="1"/>
        <v>0</v>
      </c>
      <c r="R22" s="11">
        <f t="shared" si="2"/>
        <v>0</v>
      </c>
      <c r="S22" s="9"/>
      <c r="T22" s="9"/>
      <c r="U22" s="9"/>
    </row>
    <row r="23" spans="1:21" x14ac:dyDescent="0.35">
      <c r="A23" s="14"/>
      <c r="B23" s="17">
        <f t="shared" si="0"/>
        <v>18</v>
      </c>
      <c r="C23" s="19" t="s">
        <v>38</v>
      </c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10"/>
      <c r="Q23" s="10">
        <f t="shared" si="1"/>
        <v>0</v>
      </c>
      <c r="R23" s="11">
        <f t="shared" si="2"/>
        <v>0</v>
      </c>
      <c r="S23" s="9"/>
      <c r="T23" s="9"/>
      <c r="U23" s="9"/>
    </row>
    <row r="24" spans="1:21" x14ac:dyDescent="0.35">
      <c r="A24" s="14"/>
      <c r="B24" s="17">
        <f t="shared" si="0"/>
        <v>19</v>
      </c>
      <c r="C24" s="19" t="s">
        <v>39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10"/>
      <c r="Q24" s="10">
        <f t="shared" si="1"/>
        <v>0</v>
      </c>
      <c r="R24" s="11">
        <f t="shared" si="2"/>
        <v>0</v>
      </c>
      <c r="S24" s="9"/>
      <c r="T24" s="9"/>
      <c r="U24" s="9"/>
    </row>
    <row r="25" spans="1:21" x14ac:dyDescent="0.35">
      <c r="A25" s="14"/>
      <c r="B25" s="17">
        <f t="shared" si="0"/>
        <v>20</v>
      </c>
      <c r="C25" s="19" t="s">
        <v>40</v>
      </c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10"/>
      <c r="Q25" s="10">
        <f t="shared" si="1"/>
        <v>0</v>
      </c>
      <c r="R25" s="11">
        <f t="shared" si="2"/>
        <v>0</v>
      </c>
      <c r="S25" s="9"/>
      <c r="T25" s="9"/>
      <c r="U25" s="9"/>
    </row>
    <row r="26" spans="1:21" x14ac:dyDescent="0.35">
      <c r="A26" s="14"/>
      <c r="B26" s="17">
        <f t="shared" si="0"/>
        <v>21</v>
      </c>
      <c r="C26" s="19" t="s">
        <v>41</v>
      </c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10"/>
      <c r="Q26" s="10">
        <f t="shared" si="1"/>
        <v>0</v>
      </c>
      <c r="R26" s="11">
        <f t="shared" si="2"/>
        <v>0</v>
      </c>
      <c r="S26" s="9"/>
      <c r="T26" s="9"/>
      <c r="U26" s="9"/>
    </row>
    <row r="27" spans="1:21" x14ac:dyDescent="0.35">
      <c r="A27" s="14"/>
      <c r="B27" s="17">
        <f t="shared" si="0"/>
        <v>22</v>
      </c>
      <c r="C27" s="19" t="s">
        <v>42</v>
      </c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10"/>
      <c r="Q27" s="10">
        <f t="shared" si="1"/>
        <v>0</v>
      </c>
      <c r="R27" s="11">
        <f t="shared" si="2"/>
        <v>0</v>
      </c>
      <c r="S27" s="9"/>
      <c r="T27" s="9"/>
      <c r="U27" s="9"/>
    </row>
    <row r="28" spans="1:21" x14ac:dyDescent="0.35">
      <c r="A28" s="14"/>
      <c r="B28" s="17">
        <f t="shared" si="0"/>
        <v>23</v>
      </c>
      <c r="C28" s="19" t="s">
        <v>43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10"/>
      <c r="Q28" s="10">
        <f t="shared" si="1"/>
        <v>0</v>
      </c>
      <c r="R28" s="11">
        <f t="shared" si="2"/>
        <v>0</v>
      </c>
      <c r="S28" s="9"/>
      <c r="T28" s="9"/>
      <c r="U28" s="9"/>
    </row>
    <row r="29" spans="1:21" x14ac:dyDescent="0.35">
      <c r="A29" s="14"/>
      <c r="B29" s="17">
        <f t="shared" si="0"/>
        <v>24</v>
      </c>
      <c r="C29" s="19" t="s">
        <v>44</v>
      </c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10"/>
      <c r="Q29" s="10">
        <f t="shared" si="1"/>
        <v>0</v>
      </c>
      <c r="R29" s="11">
        <f t="shared" si="2"/>
        <v>0</v>
      </c>
      <c r="S29" s="9"/>
      <c r="T29" s="9"/>
      <c r="U29" s="9"/>
    </row>
    <row r="30" spans="1:21" x14ac:dyDescent="0.35">
      <c r="A30" s="14"/>
      <c r="B30" s="17">
        <f t="shared" si="0"/>
        <v>25</v>
      </c>
      <c r="C30" s="19" t="s">
        <v>45</v>
      </c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10"/>
      <c r="Q30" s="10">
        <f t="shared" si="1"/>
        <v>0</v>
      </c>
      <c r="R30" s="11">
        <f t="shared" si="2"/>
        <v>0</v>
      </c>
      <c r="S30" s="9"/>
      <c r="T30" s="9"/>
      <c r="U30" s="9"/>
    </row>
    <row r="31" spans="1:21" x14ac:dyDescent="0.35">
      <c r="A31" s="14"/>
      <c r="B31" s="17">
        <f t="shared" si="0"/>
        <v>26</v>
      </c>
      <c r="C31" s="12" t="s">
        <v>46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12"/>
      <c r="Q31" s="12">
        <f t="shared" si="1"/>
        <v>0</v>
      </c>
      <c r="R31" s="13">
        <f t="shared" si="2"/>
        <v>0</v>
      </c>
      <c r="S31" s="9"/>
      <c r="T31" s="9"/>
      <c r="U31" s="9"/>
    </row>
    <row r="32" spans="1:21" x14ac:dyDescent="0.35">
      <c r="A32" s="14"/>
      <c r="B32" s="17">
        <f t="shared" si="0"/>
        <v>27</v>
      </c>
      <c r="C32" s="12" t="s">
        <v>47</v>
      </c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12"/>
      <c r="Q32" s="12">
        <f t="shared" si="1"/>
        <v>0</v>
      </c>
      <c r="R32" s="13">
        <f t="shared" si="2"/>
        <v>0</v>
      </c>
      <c r="S32" s="9"/>
      <c r="T32" s="9"/>
      <c r="U32" s="9"/>
    </row>
    <row r="33" spans="1:19" x14ac:dyDescent="0.35">
      <c r="A33" s="14"/>
      <c r="B33" s="17">
        <f t="shared" si="0"/>
        <v>28</v>
      </c>
      <c r="C33" s="12" t="s">
        <v>48</v>
      </c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12"/>
      <c r="Q33" s="12">
        <f t="shared" si="1"/>
        <v>0</v>
      </c>
      <c r="R33" s="13">
        <f t="shared" si="2"/>
        <v>0</v>
      </c>
      <c r="S33" s="9"/>
    </row>
    <row r="34" spans="1:19" x14ac:dyDescent="0.35">
      <c r="A34" s="14"/>
      <c r="B34" s="17">
        <f t="shared" si="0"/>
        <v>29</v>
      </c>
      <c r="C34" s="12" t="s">
        <v>49</v>
      </c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12"/>
      <c r="Q34" s="12">
        <f t="shared" si="1"/>
        <v>0</v>
      </c>
      <c r="R34" s="13">
        <f t="shared" si="2"/>
        <v>0</v>
      </c>
      <c r="S34" s="9"/>
    </row>
    <row r="35" spans="1:19" x14ac:dyDescent="0.35">
      <c r="A35" s="14"/>
      <c r="B35" s="17">
        <f t="shared" si="0"/>
        <v>30</v>
      </c>
      <c r="C35" s="12" t="s">
        <v>50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12"/>
      <c r="Q35" s="12">
        <f t="shared" si="1"/>
        <v>0</v>
      </c>
      <c r="R35" s="13">
        <f t="shared" si="2"/>
        <v>0</v>
      </c>
      <c r="S35" s="9"/>
    </row>
    <row r="36" spans="1:19" x14ac:dyDescent="0.35">
      <c r="A36" s="14"/>
      <c r="B36" s="17">
        <f t="shared" si="0"/>
        <v>31</v>
      </c>
      <c r="C36" s="12" t="s">
        <v>51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12"/>
      <c r="Q36" s="12">
        <f t="shared" si="1"/>
        <v>0</v>
      </c>
      <c r="R36" s="13">
        <f t="shared" si="2"/>
        <v>0</v>
      </c>
      <c r="S36" s="9"/>
    </row>
    <row r="37" spans="1:19" hidden="1" x14ac:dyDescent="0.35">
      <c r="A37" s="14"/>
      <c r="B37" s="17">
        <f t="shared" si="0"/>
        <v>32</v>
      </c>
      <c r="C37" s="1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12"/>
      <c r="Q37" s="12">
        <f t="shared" si="1"/>
        <v>0</v>
      </c>
      <c r="R37" s="13">
        <f t="shared" si="2"/>
        <v>0</v>
      </c>
      <c r="S37" s="9"/>
    </row>
    <row r="38" spans="1:19" hidden="1" x14ac:dyDescent="0.35">
      <c r="A38" s="14"/>
      <c r="B38" s="17">
        <f t="shared" si="0"/>
        <v>33</v>
      </c>
      <c r="C38" s="1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12"/>
      <c r="Q38" s="12">
        <f t="shared" si="1"/>
        <v>0</v>
      </c>
      <c r="R38" s="13">
        <f t="shared" si="2"/>
        <v>0</v>
      </c>
      <c r="S38" s="9"/>
    </row>
    <row r="39" spans="1:19" hidden="1" x14ac:dyDescent="0.35">
      <c r="A39" s="14"/>
      <c r="B39" s="17">
        <f t="shared" si="0"/>
        <v>34</v>
      </c>
      <c r="C39" s="1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12"/>
      <c r="Q39" s="12">
        <f t="shared" si="1"/>
        <v>0</v>
      </c>
      <c r="R39" s="13">
        <f t="shared" si="2"/>
        <v>0</v>
      </c>
      <c r="S39" s="9"/>
    </row>
    <row r="40" spans="1:19" hidden="1" x14ac:dyDescent="0.35">
      <c r="A40" s="14"/>
      <c r="B40" s="17">
        <f t="shared" si="0"/>
        <v>35</v>
      </c>
      <c r="C40" s="1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12"/>
      <c r="Q40" s="12">
        <f t="shared" si="1"/>
        <v>0</v>
      </c>
      <c r="R40" s="13">
        <f t="shared" si="2"/>
        <v>0</v>
      </c>
      <c r="S40" s="9"/>
    </row>
    <row r="41" spans="1:19" hidden="1" x14ac:dyDescent="0.35">
      <c r="A41" s="14"/>
      <c r="B41" s="17">
        <f t="shared" si="0"/>
        <v>36</v>
      </c>
      <c r="C41" s="1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12"/>
      <c r="Q41" s="12">
        <f t="shared" si="1"/>
        <v>0</v>
      </c>
      <c r="R41" s="13">
        <f t="shared" si="2"/>
        <v>0</v>
      </c>
      <c r="S41" s="9"/>
    </row>
    <row r="42" spans="1:19" hidden="1" x14ac:dyDescent="0.35">
      <c r="A42" s="14"/>
      <c r="B42" s="17">
        <f t="shared" si="0"/>
        <v>37</v>
      </c>
      <c r="C42" s="1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12"/>
      <c r="Q42" s="12">
        <f t="shared" si="1"/>
        <v>0</v>
      </c>
      <c r="R42" s="13">
        <f t="shared" si="2"/>
        <v>0</v>
      </c>
      <c r="S42" s="9"/>
    </row>
    <row r="43" spans="1:19" hidden="1" x14ac:dyDescent="0.35">
      <c r="A43" s="14"/>
      <c r="B43" s="17">
        <f t="shared" si="0"/>
        <v>38</v>
      </c>
      <c r="C43" s="1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12"/>
      <c r="Q43" s="12">
        <f t="shared" si="1"/>
        <v>0</v>
      </c>
      <c r="R43" s="13">
        <f t="shared" si="2"/>
        <v>0</v>
      </c>
      <c r="S43" s="9"/>
    </row>
    <row r="44" spans="1:19" hidden="1" x14ac:dyDescent="0.35">
      <c r="A44" s="14"/>
      <c r="B44" s="17">
        <f t="shared" si="0"/>
        <v>39</v>
      </c>
      <c r="C44" s="1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12"/>
      <c r="Q44" s="12">
        <f t="shared" si="1"/>
        <v>0</v>
      </c>
      <c r="R44" s="13">
        <f t="shared" si="2"/>
        <v>0</v>
      </c>
      <c r="S44" s="9"/>
    </row>
    <row r="45" spans="1:19" hidden="1" x14ac:dyDescent="0.35">
      <c r="A45" s="14"/>
      <c r="B45" s="17">
        <f t="shared" si="0"/>
        <v>40</v>
      </c>
      <c r="C45" s="1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12"/>
      <c r="Q45" s="12">
        <f t="shared" si="1"/>
        <v>0</v>
      </c>
      <c r="R45" s="13">
        <f t="shared" si="2"/>
        <v>0</v>
      </c>
      <c r="S45" s="9"/>
    </row>
    <row r="46" spans="1:19" hidden="1" x14ac:dyDescent="0.35">
      <c r="A46" s="14"/>
      <c r="B46" s="17">
        <f t="shared" si="0"/>
        <v>41</v>
      </c>
      <c r="C46" s="1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12"/>
      <c r="Q46" s="12">
        <f t="shared" si="1"/>
        <v>0</v>
      </c>
      <c r="R46" s="13">
        <f t="shared" si="2"/>
        <v>0</v>
      </c>
      <c r="S46" s="9"/>
    </row>
    <row r="47" spans="1:19" hidden="1" x14ac:dyDescent="0.35">
      <c r="A47" s="14"/>
      <c r="B47" s="17">
        <f t="shared" si="0"/>
        <v>42</v>
      </c>
      <c r="C47" s="1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12"/>
      <c r="Q47" s="12">
        <f t="shared" si="1"/>
        <v>0</v>
      </c>
      <c r="R47" s="13">
        <f t="shared" si="2"/>
        <v>0</v>
      </c>
      <c r="S47" s="9"/>
    </row>
    <row r="48" spans="1:19" hidden="1" x14ac:dyDescent="0.35">
      <c r="A48" s="14"/>
      <c r="B48" s="17">
        <f t="shared" si="0"/>
        <v>43</v>
      </c>
      <c r="C48" s="1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12"/>
      <c r="Q48" s="12">
        <f t="shared" si="1"/>
        <v>0</v>
      </c>
      <c r="R48" s="13">
        <f t="shared" si="2"/>
        <v>0</v>
      </c>
      <c r="S48" s="9"/>
    </row>
    <row r="49" spans="1:19" hidden="1" x14ac:dyDescent="0.35">
      <c r="A49" s="14"/>
      <c r="B49" s="17">
        <f t="shared" si="0"/>
        <v>44</v>
      </c>
      <c r="C49" s="1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12"/>
      <c r="Q49" s="12">
        <f t="shared" si="1"/>
        <v>0</v>
      </c>
      <c r="R49" s="13">
        <f t="shared" si="2"/>
        <v>0</v>
      </c>
      <c r="S49" s="9"/>
    </row>
    <row r="50" spans="1:19" hidden="1" x14ac:dyDescent="0.35">
      <c r="A50" s="14"/>
      <c r="B50" s="17">
        <f t="shared" si="0"/>
        <v>45</v>
      </c>
      <c r="C50" s="1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12"/>
      <c r="Q50" s="12">
        <f t="shared" si="1"/>
        <v>0</v>
      </c>
      <c r="R50" s="13">
        <f t="shared" si="2"/>
        <v>0</v>
      </c>
      <c r="S50" s="9"/>
    </row>
    <row r="51" spans="1:19" hidden="1" x14ac:dyDescent="0.35">
      <c r="A51" s="14"/>
      <c r="B51" s="17">
        <f t="shared" si="0"/>
        <v>46</v>
      </c>
      <c r="C51" s="12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12"/>
      <c r="Q51" s="12">
        <f t="shared" si="1"/>
        <v>0</v>
      </c>
      <c r="R51" s="13">
        <f t="shared" si="2"/>
        <v>0</v>
      </c>
      <c r="S51" s="9"/>
    </row>
    <row r="52" spans="1:19" hidden="1" x14ac:dyDescent="0.35">
      <c r="A52" s="14"/>
      <c r="B52" s="17">
        <f t="shared" si="0"/>
        <v>47</v>
      </c>
      <c r="C52" s="12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12"/>
      <c r="Q52" s="12">
        <f t="shared" si="1"/>
        <v>0</v>
      </c>
      <c r="R52" s="13">
        <f t="shared" si="2"/>
        <v>0</v>
      </c>
      <c r="S52" s="9"/>
    </row>
    <row r="53" spans="1:19" hidden="1" x14ac:dyDescent="0.35">
      <c r="A53" s="14"/>
      <c r="B53" s="17">
        <f t="shared" si="0"/>
        <v>48</v>
      </c>
      <c r="C53" s="1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12"/>
      <c r="Q53" s="12">
        <f t="shared" si="1"/>
        <v>0</v>
      </c>
      <c r="R53" s="13">
        <f t="shared" si="2"/>
        <v>0</v>
      </c>
      <c r="S53" s="9"/>
    </row>
    <row r="54" spans="1:19" x14ac:dyDescent="0.35">
      <c r="A54" s="14"/>
      <c r="B54" s="9"/>
      <c r="C54" s="20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9"/>
      <c r="Q54" s="9"/>
      <c r="R54" s="9"/>
      <c r="S54" s="9"/>
    </row>
    <row r="55" spans="1:19" ht="3" customHeight="1" x14ac:dyDescent="0.3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</row>
  </sheetData>
  <mergeCells count="4">
    <mergeCell ref="A1:C1"/>
    <mergeCell ref="B3:C3"/>
    <mergeCell ref="A2:S2"/>
    <mergeCell ref="A55:S55"/>
  </mergeCells>
  <dataValidations count="1">
    <dataValidation type="list" allowBlank="1" showInputMessage="1" sqref="D6:O53">
      <formula1>$O$3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7"/>
  <sheetViews>
    <sheetView tabSelected="1" topLeftCell="C1" workbookViewId="0">
      <selection activeCell="F13" sqref="F13"/>
    </sheetView>
  </sheetViews>
  <sheetFormatPr defaultRowHeight="14.5" x14ac:dyDescent="0.35"/>
  <cols>
    <col min="1" max="1" width="5" customWidth="1"/>
    <col min="2" max="2" width="25.36328125" bestFit="1" customWidth="1"/>
    <col min="3" max="8" width="10.81640625" customWidth="1"/>
    <col min="9" max="9" width="4.6328125" customWidth="1"/>
    <col min="10" max="10" width="15.453125" customWidth="1"/>
    <col min="11" max="11" width="18.1796875" customWidth="1"/>
    <col min="12" max="12" width="10.7265625" bestFit="1" customWidth="1"/>
  </cols>
  <sheetData>
    <row r="3" spans="2:11" x14ac:dyDescent="0.35">
      <c r="B3" s="26" t="s">
        <v>65</v>
      </c>
      <c r="C3" s="26" t="s">
        <v>67</v>
      </c>
      <c r="J3" s="26" t="s">
        <v>68</v>
      </c>
      <c r="K3" t="s">
        <v>53</v>
      </c>
    </row>
    <row r="4" spans="2:11" x14ac:dyDescent="0.35">
      <c r="B4" s="26" t="s">
        <v>66</v>
      </c>
      <c r="C4">
        <v>2023</v>
      </c>
      <c r="D4">
        <v>2024</v>
      </c>
      <c r="E4">
        <v>2025</v>
      </c>
      <c r="F4">
        <v>2026</v>
      </c>
      <c r="G4">
        <v>2027</v>
      </c>
      <c r="H4" s="29" t="s">
        <v>63</v>
      </c>
      <c r="J4" s="27" t="s">
        <v>50</v>
      </c>
      <c r="K4" s="28">
        <v>600000</v>
      </c>
    </row>
    <row r="5" spans="2:11" x14ac:dyDescent="0.35">
      <c r="B5" s="27" t="s">
        <v>26</v>
      </c>
      <c r="C5" s="28">
        <v>200000</v>
      </c>
      <c r="D5" s="28">
        <v>0</v>
      </c>
      <c r="E5" s="28">
        <v>0</v>
      </c>
      <c r="F5" s="28">
        <v>0</v>
      </c>
      <c r="G5" s="28">
        <v>0</v>
      </c>
      <c r="H5" s="28">
        <v>200000</v>
      </c>
      <c r="J5" s="27" t="s">
        <v>49</v>
      </c>
      <c r="K5" s="28">
        <v>600000</v>
      </c>
    </row>
    <row r="6" spans="2:11" x14ac:dyDescent="0.35">
      <c r="B6" s="27" t="s">
        <v>22</v>
      </c>
      <c r="C6" s="28">
        <v>200000</v>
      </c>
      <c r="D6" s="28">
        <v>300000</v>
      </c>
      <c r="E6" s="28">
        <v>0</v>
      </c>
      <c r="F6" s="28">
        <v>0</v>
      </c>
      <c r="G6" s="28">
        <v>0</v>
      </c>
      <c r="H6" s="28">
        <v>500000</v>
      </c>
      <c r="J6" s="27" t="s">
        <v>51</v>
      </c>
      <c r="K6" s="28">
        <v>800000</v>
      </c>
    </row>
    <row r="7" spans="2:11" x14ac:dyDescent="0.35">
      <c r="B7" s="27" t="s">
        <v>50</v>
      </c>
      <c r="C7" s="28">
        <v>200000</v>
      </c>
      <c r="D7" s="28">
        <v>400000</v>
      </c>
      <c r="E7" s="28">
        <v>0</v>
      </c>
      <c r="F7" s="28">
        <v>0</v>
      </c>
      <c r="G7" s="28">
        <v>0</v>
      </c>
      <c r="H7" s="28">
        <v>600000</v>
      </c>
      <c r="J7" s="27" t="s">
        <v>42</v>
      </c>
      <c r="K7" s="28">
        <v>800000</v>
      </c>
    </row>
    <row r="8" spans="2:11" x14ac:dyDescent="0.35">
      <c r="B8" s="27" t="s">
        <v>28</v>
      </c>
      <c r="C8" s="28">
        <v>200000</v>
      </c>
      <c r="D8" s="28">
        <v>200000</v>
      </c>
      <c r="E8" s="28">
        <v>0</v>
      </c>
      <c r="F8" s="28">
        <v>0</v>
      </c>
      <c r="G8" s="28">
        <v>0</v>
      </c>
      <c r="H8" s="28">
        <v>400000</v>
      </c>
      <c r="J8" s="27" t="s">
        <v>36</v>
      </c>
      <c r="K8" s="28">
        <v>800000</v>
      </c>
    </row>
    <row r="9" spans="2:11" x14ac:dyDescent="0.35">
      <c r="B9" s="27" t="s">
        <v>33</v>
      </c>
      <c r="C9" s="28">
        <v>50000</v>
      </c>
      <c r="D9" s="28">
        <v>0</v>
      </c>
      <c r="E9" s="28">
        <v>0</v>
      </c>
      <c r="F9" s="28">
        <v>0</v>
      </c>
      <c r="G9" s="28">
        <v>0</v>
      </c>
      <c r="H9" s="28">
        <v>50000</v>
      </c>
    </row>
    <row r="10" spans="2:11" x14ac:dyDescent="0.35">
      <c r="B10" s="27" t="s">
        <v>27</v>
      </c>
      <c r="C10" s="28">
        <v>50000</v>
      </c>
      <c r="D10" s="28">
        <v>0</v>
      </c>
      <c r="E10" s="28">
        <v>0</v>
      </c>
      <c r="F10" s="28">
        <v>0</v>
      </c>
      <c r="G10" s="28">
        <v>0</v>
      </c>
      <c r="H10" s="28">
        <v>50000</v>
      </c>
    </row>
    <row r="11" spans="2:11" x14ac:dyDescent="0.35">
      <c r="B11" s="27" t="s">
        <v>32</v>
      </c>
      <c r="C11" s="28">
        <v>200000</v>
      </c>
      <c r="D11" s="28">
        <v>300000</v>
      </c>
      <c r="E11" s="28">
        <v>0</v>
      </c>
      <c r="F11" s="28">
        <v>0</v>
      </c>
      <c r="G11" s="28">
        <v>0</v>
      </c>
      <c r="H11" s="28">
        <v>500000</v>
      </c>
    </row>
    <row r="12" spans="2:11" x14ac:dyDescent="0.35">
      <c r="B12" s="27" t="s">
        <v>21</v>
      </c>
      <c r="C12" s="28">
        <v>200000</v>
      </c>
      <c r="D12" s="28">
        <v>200000</v>
      </c>
      <c r="E12" s="28">
        <v>0</v>
      </c>
      <c r="F12" s="28">
        <v>0</v>
      </c>
      <c r="G12" s="28">
        <v>0</v>
      </c>
      <c r="H12" s="28">
        <v>400000</v>
      </c>
      <c r="J12" s="26" t="s">
        <v>67</v>
      </c>
      <c r="K12" t="s">
        <v>64</v>
      </c>
    </row>
    <row r="13" spans="2:11" x14ac:dyDescent="0.35">
      <c r="B13" s="27" t="s">
        <v>35</v>
      </c>
      <c r="C13" s="28">
        <v>200000</v>
      </c>
      <c r="D13" s="28">
        <v>150000</v>
      </c>
      <c r="E13" s="28">
        <v>0</v>
      </c>
      <c r="F13" s="28">
        <v>0</v>
      </c>
      <c r="G13" s="28">
        <v>0</v>
      </c>
      <c r="H13" s="28">
        <v>350000</v>
      </c>
      <c r="J13" s="27">
        <v>2023</v>
      </c>
      <c r="K13" s="28">
        <v>6100000</v>
      </c>
    </row>
    <row r="14" spans="2:11" x14ac:dyDescent="0.35">
      <c r="B14" s="27" t="s">
        <v>38</v>
      </c>
      <c r="C14" s="28">
        <v>200000</v>
      </c>
      <c r="D14" s="28">
        <v>200000</v>
      </c>
      <c r="E14" s="28">
        <v>0</v>
      </c>
      <c r="F14" s="28">
        <v>0</v>
      </c>
      <c r="G14" s="28">
        <v>0</v>
      </c>
      <c r="H14" s="28">
        <v>400000</v>
      </c>
      <c r="J14" s="27">
        <v>2024</v>
      </c>
      <c r="K14" s="28">
        <v>6250000</v>
      </c>
    </row>
    <row r="15" spans="2:11" x14ac:dyDescent="0.35">
      <c r="B15" s="27" t="s">
        <v>49</v>
      </c>
      <c r="C15" s="28">
        <v>200000</v>
      </c>
      <c r="D15" s="28">
        <v>400000</v>
      </c>
      <c r="E15" s="28">
        <v>0</v>
      </c>
      <c r="F15" s="28">
        <v>0</v>
      </c>
      <c r="G15" s="28">
        <v>0</v>
      </c>
      <c r="H15" s="28">
        <v>600000</v>
      </c>
      <c r="J15" s="27">
        <v>2025</v>
      </c>
      <c r="K15" s="28">
        <v>0</v>
      </c>
    </row>
    <row r="16" spans="2:11" x14ac:dyDescent="0.35">
      <c r="B16" s="27" t="s">
        <v>34</v>
      </c>
      <c r="C16" s="28">
        <v>200000</v>
      </c>
      <c r="D16" s="28">
        <v>200000</v>
      </c>
      <c r="E16" s="28">
        <v>0</v>
      </c>
      <c r="F16" s="28">
        <v>0</v>
      </c>
      <c r="G16" s="28">
        <v>0</v>
      </c>
      <c r="H16" s="28">
        <v>400000</v>
      </c>
      <c r="J16" s="27">
        <v>2026</v>
      </c>
      <c r="K16" s="28">
        <v>0</v>
      </c>
    </row>
    <row r="17" spans="2:13" x14ac:dyDescent="0.35">
      <c r="B17" s="27" t="s">
        <v>40</v>
      </c>
      <c r="C17" s="28">
        <v>200000</v>
      </c>
      <c r="D17" s="28">
        <v>200000</v>
      </c>
      <c r="E17" s="28">
        <v>0</v>
      </c>
      <c r="F17" s="28">
        <v>0</v>
      </c>
      <c r="G17" s="28">
        <v>0</v>
      </c>
      <c r="H17" s="28">
        <v>400000</v>
      </c>
      <c r="J17" s="27">
        <v>2027</v>
      </c>
      <c r="K17" s="28">
        <v>0</v>
      </c>
    </row>
    <row r="18" spans="2:13" x14ac:dyDescent="0.35">
      <c r="B18" s="27" t="s">
        <v>37</v>
      </c>
      <c r="C18" s="28">
        <v>200000</v>
      </c>
      <c r="D18" s="28">
        <v>0</v>
      </c>
      <c r="E18" s="28">
        <v>0</v>
      </c>
      <c r="F18" s="28">
        <v>0</v>
      </c>
      <c r="G18" s="28">
        <v>0</v>
      </c>
      <c r="H18" s="28">
        <v>200000</v>
      </c>
    </row>
    <row r="19" spans="2:13" x14ac:dyDescent="0.35">
      <c r="B19" s="27" t="s">
        <v>24</v>
      </c>
      <c r="C19" s="28">
        <v>200000</v>
      </c>
      <c r="D19" s="28">
        <v>200000</v>
      </c>
      <c r="E19" s="28">
        <v>0</v>
      </c>
      <c r="F19" s="28">
        <v>0</v>
      </c>
      <c r="G19" s="28">
        <v>0</v>
      </c>
      <c r="H19" s="28">
        <v>400000</v>
      </c>
    </row>
    <row r="20" spans="2:13" x14ac:dyDescent="0.35">
      <c r="B20" s="27" t="s">
        <v>29</v>
      </c>
      <c r="C20" s="28">
        <v>200000</v>
      </c>
      <c r="D20" s="28">
        <v>200000</v>
      </c>
      <c r="E20" s="28">
        <v>0</v>
      </c>
      <c r="F20" s="28">
        <v>0</v>
      </c>
      <c r="G20" s="28">
        <v>0</v>
      </c>
      <c r="H20" s="28">
        <v>400000</v>
      </c>
      <c r="J20" s="26" t="s">
        <v>55</v>
      </c>
      <c r="K20" t="s">
        <v>69</v>
      </c>
    </row>
    <row r="21" spans="2:13" x14ac:dyDescent="0.35">
      <c r="B21" s="27" t="s">
        <v>39</v>
      </c>
      <c r="C21" s="28">
        <v>200000</v>
      </c>
      <c r="D21" s="28">
        <v>250000</v>
      </c>
      <c r="E21" s="28">
        <v>0</v>
      </c>
      <c r="F21" s="28">
        <v>0</v>
      </c>
      <c r="G21" s="28">
        <v>0</v>
      </c>
      <c r="H21" s="28">
        <v>450000</v>
      </c>
      <c r="J21" s="45">
        <v>45235</v>
      </c>
      <c r="K21" s="28"/>
    </row>
    <row r="22" spans="2:13" x14ac:dyDescent="0.35">
      <c r="B22" s="27" t="s">
        <v>48</v>
      </c>
      <c r="C22" s="28">
        <v>200000</v>
      </c>
      <c r="D22" s="28">
        <v>0</v>
      </c>
      <c r="E22" s="28">
        <v>0</v>
      </c>
      <c r="F22" s="28">
        <v>0</v>
      </c>
      <c r="G22" s="28">
        <v>0</v>
      </c>
      <c r="H22" s="28">
        <v>200000</v>
      </c>
      <c r="J22" s="44" t="s">
        <v>61</v>
      </c>
      <c r="K22" s="28">
        <v>1500000</v>
      </c>
    </row>
    <row r="23" spans="2:13" x14ac:dyDescent="0.35">
      <c r="B23" s="27" t="s">
        <v>51</v>
      </c>
      <c r="C23" s="28">
        <v>200000</v>
      </c>
      <c r="D23" s="28">
        <v>600000</v>
      </c>
      <c r="E23" s="28">
        <v>0</v>
      </c>
      <c r="F23" s="28">
        <v>0</v>
      </c>
      <c r="G23" s="28">
        <v>0</v>
      </c>
      <c r="H23" s="28">
        <v>800000</v>
      </c>
      <c r="J23" s="27" t="s">
        <v>63</v>
      </c>
      <c r="K23" s="28">
        <v>1500000</v>
      </c>
    </row>
    <row r="24" spans="2:13" x14ac:dyDescent="0.35">
      <c r="B24" s="27" t="s">
        <v>43</v>
      </c>
      <c r="C24" s="28">
        <v>200000</v>
      </c>
      <c r="D24" s="28">
        <v>0</v>
      </c>
      <c r="E24" s="28">
        <v>0</v>
      </c>
      <c r="F24" s="28">
        <v>0</v>
      </c>
      <c r="G24" s="28">
        <v>0</v>
      </c>
      <c r="H24" s="28">
        <v>200000</v>
      </c>
    </row>
    <row r="25" spans="2:13" x14ac:dyDescent="0.35">
      <c r="B25" s="27" t="s">
        <v>42</v>
      </c>
      <c r="C25" s="28">
        <v>200000</v>
      </c>
      <c r="D25" s="28">
        <v>600000</v>
      </c>
      <c r="E25" s="28">
        <v>0</v>
      </c>
      <c r="F25" s="28">
        <v>0</v>
      </c>
      <c r="G25" s="28">
        <v>0</v>
      </c>
      <c r="H25" s="28">
        <v>800000</v>
      </c>
    </row>
    <row r="26" spans="2:13" x14ac:dyDescent="0.35">
      <c r="B26" s="27" t="s">
        <v>52</v>
      </c>
      <c r="C26" s="28">
        <v>200000</v>
      </c>
      <c r="D26" s="28"/>
      <c r="E26" s="28"/>
      <c r="F26" s="28"/>
      <c r="G26" s="28"/>
      <c r="H26" s="28">
        <v>200000</v>
      </c>
    </row>
    <row r="27" spans="2:13" x14ac:dyDescent="0.35">
      <c r="B27" s="27" t="s">
        <v>44</v>
      </c>
      <c r="C27" s="28">
        <v>200000</v>
      </c>
      <c r="D27" s="28">
        <v>200000</v>
      </c>
      <c r="E27" s="28">
        <v>0</v>
      </c>
      <c r="F27" s="28">
        <v>0</v>
      </c>
      <c r="G27" s="28">
        <v>0</v>
      </c>
      <c r="H27" s="28">
        <v>400000</v>
      </c>
      <c r="L27" s="25"/>
      <c r="M27" s="25"/>
    </row>
    <row r="28" spans="2:13" x14ac:dyDescent="0.35">
      <c r="B28" s="27" t="s">
        <v>36</v>
      </c>
      <c r="C28" s="28">
        <v>200000</v>
      </c>
      <c r="D28" s="28">
        <v>600000</v>
      </c>
      <c r="E28" s="28">
        <v>0</v>
      </c>
      <c r="F28" s="28">
        <v>0</v>
      </c>
      <c r="G28" s="28">
        <v>0</v>
      </c>
      <c r="H28" s="28">
        <v>800000</v>
      </c>
      <c r="J28" s="45"/>
      <c r="K28" s="25"/>
      <c r="L28" s="25"/>
      <c r="M28" s="25"/>
    </row>
    <row r="29" spans="2:13" x14ac:dyDescent="0.35">
      <c r="B29" s="27" t="s">
        <v>25</v>
      </c>
      <c r="C29" s="28">
        <v>200000</v>
      </c>
      <c r="D29" s="28">
        <v>100000</v>
      </c>
      <c r="E29" s="28">
        <v>0</v>
      </c>
      <c r="F29" s="28">
        <v>0</v>
      </c>
      <c r="G29" s="28">
        <v>0</v>
      </c>
      <c r="H29" s="28">
        <v>300000</v>
      </c>
      <c r="J29" s="27"/>
      <c r="K29" s="25"/>
      <c r="L29" s="25"/>
      <c r="M29" s="25"/>
    </row>
    <row r="30" spans="2:13" x14ac:dyDescent="0.35">
      <c r="B30" s="27" t="s">
        <v>41</v>
      </c>
      <c r="C30" s="28">
        <v>200000</v>
      </c>
      <c r="D30" s="28">
        <v>200000</v>
      </c>
      <c r="E30" s="28">
        <v>0</v>
      </c>
      <c r="F30" s="28">
        <v>0</v>
      </c>
      <c r="G30" s="28">
        <v>0</v>
      </c>
      <c r="H30" s="28">
        <v>400000</v>
      </c>
    </row>
    <row r="31" spans="2:13" x14ac:dyDescent="0.35">
      <c r="B31" s="27" t="s">
        <v>47</v>
      </c>
      <c r="C31" s="28">
        <v>200000</v>
      </c>
      <c r="D31" s="28">
        <v>150000</v>
      </c>
      <c r="E31" s="28">
        <v>0</v>
      </c>
      <c r="F31" s="28">
        <v>0</v>
      </c>
      <c r="G31" s="28">
        <v>0</v>
      </c>
      <c r="H31" s="28">
        <v>350000</v>
      </c>
    </row>
    <row r="32" spans="2:13" x14ac:dyDescent="0.35">
      <c r="B32" s="27" t="s">
        <v>23</v>
      </c>
      <c r="C32" s="28">
        <v>200000</v>
      </c>
      <c r="D32" s="28">
        <v>200000</v>
      </c>
      <c r="E32" s="28">
        <v>0</v>
      </c>
      <c r="F32" s="28">
        <v>0</v>
      </c>
      <c r="G32" s="28">
        <v>0</v>
      </c>
      <c r="H32" s="28">
        <v>400000</v>
      </c>
    </row>
    <row r="33" spans="2:8" x14ac:dyDescent="0.35">
      <c r="B33" s="27" t="s">
        <v>30</v>
      </c>
      <c r="C33" s="28">
        <v>200000</v>
      </c>
      <c r="D33" s="28">
        <v>50000</v>
      </c>
      <c r="E33" s="28">
        <v>0</v>
      </c>
      <c r="F33" s="28">
        <v>0</v>
      </c>
      <c r="G33" s="28">
        <v>0</v>
      </c>
      <c r="H33" s="28">
        <v>250000</v>
      </c>
    </row>
    <row r="34" spans="2:8" x14ac:dyDescent="0.35">
      <c r="B34" s="27" t="s">
        <v>46</v>
      </c>
      <c r="C34" s="28">
        <v>200000</v>
      </c>
      <c r="D34" s="28">
        <v>0</v>
      </c>
      <c r="E34" s="28">
        <v>0</v>
      </c>
      <c r="F34" s="28">
        <v>0</v>
      </c>
      <c r="G34" s="28">
        <v>0</v>
      </c>
      <c r="H34" s="28">
        <v>200000</v>
      </c>
    </row>
    <row r="35" spans="2:8" x14ac:dyDescent="0.35">
      <c r="B35" s="27" t="s">
        <v>45</v>
      </c>
      <c r="C35" s="28">
        <v>200000</v>
      </c>
      <c r="D35" s="28">
        <v>200000</v>
      </c>
      <c r="E35" s="28">
        <v>0</v>
      </c>
      <c r="F35" s="28">
        <v>0</v>
      </c>
      <c r="G35" s="28">
        <v>0</v>
      </c>
      <c r="H35" s="28">
        <v>400000</v>
      </c>
    </row>
    <row r="36" spans="2:8" x14ac:dyDescent="0.35">
      <c r="B36" s="27" t="s">
        <v>31</v>
      </c>
      <c r="C36" s="28">
        <v>200000</v>
      </c>
      <c r="D36" s="28">
        <v>150000</v>
      </c>
      <c r="E36" s="28">
        <v>0</v>
      </c>
      <c r="F36" s="28">
        <v>0</v>
      </c>
      <c r="G36" s="28">
        <v>0</v>
      </c>
      <c r="H36" s="28">
        <v>350000</v>
      </c>
    </row>
    <row r="37" spans="2:8" x14ac:dyDescent="0.35">
      <c r="B37" s="27" t="s">
        <v>63</v>
      </c>
      <c r="C37" s="28">
        <v>6100000</v>
      </c>
      <c r="D37" s="28">
        <v>6250000</v>
      </c>
      <c r="E37" s="28">
        <v>0</v>
      </c>
      <c r="F37" s="28">
        <v>0</v>
      </c>
      <c r="G37" s="28">
        <v>0</v>
      </c>
      <c r="H37" s="28">
        <v>12350000</v>
      </c>
    </row>
  </sheetData>
  <pageMargins left="0.7" right="0.7" top="0.75" bottom="0.75" header="0.3" footer="0.3"/>
  <pageSetup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������
</file>

<file path=customXml/item5.xml>��
</file>

<file path=customXml/item6.xml>��
</file>

<file path=customXml/item7.xml>��
</file>

<file path=customXml/item8.xml>��������������������������������������������������
</file>

<file path=customXml/item9.xml>������������
</file>

<file path=customXml/item10.xml>��
</file>

<file path=customXml/item11.xml>��
</file>

<file path=customXml/item12.xml>������
</file>

<file path=customXml/item13.xml>��
</file>

<file path=customXml/item14.xml>��
</file>

<file path=customXml/item15.xml>������
</file>

<file path=customXml/item16.xml>��
</file>

<file path=customXml/item17.xml>������
</file>

<file path=customXml/item18.xml>��
</file>

<file path=customXml/item19.xml>������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593AD495-D249-415D-8C44-0CE6E9C8CB74}">
  <ds:schemaRefs/>
</ds:datastoreItem>
</file>

<file path=customXml/itemProps2.xml><?xml version="1.0" encoding="utf-8"?>
<ds:datastoreItem xmlns:ds="http://schemas.openxmlformats.org/officeDocument/2006/customXml" ds:itemID="{A3A384D9-7E44-4279-BCB1-B70F63307CCC}">
  <ds:schemaRefs/>
</ds:datastoreItem>
</file>

<file path=customXml/itemProps3.xml><?xml version="1.0" encoding="utf-8"?>
<ds:datastoreItem xmlns:ds="http://schemas.openxmlformats.org/officeDocument/2006/customXml" ds:itemID="{9E10284B-B989-4935-9743-6A2A47CCCFF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03A7BFC2-A4F8-4842-98A6-CE8164797B5F}">
  <ds:schemaRefs/>
</ds:datastoreItem>
</file>

<file path=customXml/itemProps5.xml><?xml version="1.0" encoding="utf-8"?>
<ds:datastoreItem xmlns:ds="http://schemas.openxmlformats.org/officeDocument/2006/customXml" ds:itemID="{B80E3976-0EFF-4872-95A1-20D494F1A0A4}">
  <ds:schemaRefs/>
</ds:datastoreItem>
</file>

<file path=customXml/itemProps6.xml><?xml version="1.0" encoding="utf-8"?>
<ds:datastoreItem xmlns:ds="http://schemas.openxmlformats.org/officeDocument/2006/customXml" ds:itemID="{473F1704-160A-4166-A725-44CDDF52EAE9}">
  <ds:schemaRefs/>
</ds:datastoreItem>
</file>

<file path=customXml/itemProps7.xml><?xml version="1.0" encoding="utf-8"?>
<ds:datastoreItem xmlns:ds="http://schemas.openxmlformats.org/officeDocument/2006/customXml" ds:itemID="{97FFBBB6-6EB6-475D-9B00-DEA35F98B959}">
  <ds:schemaRefs/>
</ds:datastoreItem>
</file>

<file path=customXml/itemProps8.xml><?xml version="1.0" encoding="utf-8"?>
<ds:datastoreItem xmlns:ds="http://schemas.openxmlformats.org/officeDocument/2006/customXml" ds:itemID="{ADB646CC-1983-46A8-93A5-6B0B06872A82}">
  <ds:schemaRefs/>
</ds:datastoreItem>
</file>

<file path=customXml/itemProps9.xml><?xml version="1.0" encoding="utf-8"?>
<ds:datastoreItem xmlns:ds="http://schemas.openxmlformats.org/officeDocument/2006/customXml" ds:itemID="{18B11B95-02AF-43E2-8406-787B12E803B5}">
  <ds:schemaRefs/>
</ds:datastoreItem>
</file>

<file path=customXml/itemProps10.xml><?xml version="1.0" encoding="utf-8"?>
<ds:datastoreItem xmlns:ds="http://schemas.openxmlformats.org/officeDocument/2006/customXml" ds:itemID="{409DA1E4-9E07-4930-9538-7ACE324608B4}">
  <ds:schemaRefs/>
</ds:datastoreItem>
</file>

<file path=customXml/itemProps11.xml><?xml version="1.0" encoding="utf-8"?>
<ds:datastoreItem xmlns:ds="http://schemas.openxmlformats.org/officeDocument/2006/customXml" ds:itemID="{C5784BF0-FCFF-4A85-ADA2-17931195DF2D}">
  <ds:schemaRefs/>
</ds:datastoreItem>
</file>

<file path=customXml/itemProps12.xml><?xml version="1.0" encoding="utf-8"?>
<ds:datastoreItem xmlns:ds="http://schemas.openxmlformats.org/officeDocument/2006/customXml" ds:itemID="{E1C8D3CC-8A8B-4B34-A69E-0B41006E2004}">
  <ds:schemaRefs/>
</ds:datastoreItem>
</file>

<file path=customXml/itemProps13.xml><?xml version="1.0" encoding="utf-8"?>
<ds:datastoreItem xmlns:ds="http://schemas.openxmlformats.org/officeDocument/2006/customXml" ds:itemID="{C2917910-D47A-4525-8B61-FF15C46DD6C9}">
  <ds:schemaRefs/>
</ds:datastoreItem>
</file>

<file path=customXml/itemProps14.xml><?xml version="1.0" encoding="utf-8"?>
<ds:datastoreItem xmlns:ds="http://schemas.openxmlformats.org/officeDocument/2006/customXml" ds:itemID="{83B58C98-80D0-4F5D-8717-C08509817E0A}">
  <ds:schemaRefs/>
</ds:datastoreItem>
</file>

<file path=customXml/itemProps15.xml><?xml version="1.0" encoding="utf-8"?>
<ds:datastoreItem xmlns:ds="http://schemas.openxmlformats.org/officeDocument/2006/customXml" ds:itemID="{875DB2BD-DECF-4084-AD20-EDAB49912CDD}">
  <ds:schemaRefs/>
</ds:datastoreItem>
</file>

<file path=customXml/itemProps16.xml><?xml version="1.0" encoding="utf-8"?>
<ds:datastoreItem xmlns:ds="http://schemas.openxmlformats.org/officeDocument/2006/customXml" ds:itemID="{D7E5BE1D-E8EB-480F-A9B6-E82486C8A807}">
  <ds:schemaRefs/>
</ds:datastoreItem>
</file>

<file path=customXml/itemProps17.xml><?xml version="1.0" encoding="utf-8"?>
<ds:datastoreItem xmlns:ds="http://schemas.openxmlformats.org/officeDocument/2006/customXml" ds:itemID="{91D36CB1-A53A-4A1C-88FE-1AC818196683}">
  <ds:schemaRefs/>
</ds:datastoreItem>
</file>

<file path=customXml/itemProps18.xml><?xml version="1.0" encoding="utf-8"?>
<ds:datastoreItem xmlns:ds="http://schemas.openxmlformats.org/officeDocument/2006/customXml" ds:itemID="{D60BA55C-CABD-4FB5-8FC7-C25756AC2921}">
  <ds:schemaRefs/>
</ds:datastoreItem>
</file>

<file path=customXml/itemProps19.xml><?xml version="1.0" encoding="utf-8"?>
<ds:datastoreItem xmlns:ds="http://schemas.openxmlformats.org/officeDocument/2006/customXml" ds:itemID="{200F297A-76DF-432C-8901-02E2AA4B7523}">
  <ds:schemaRefs/>
</ds:datastoreItem>
</file>

<file path=customXml/itemProps20.xml><?xml version="1.0" encoding="utf-8"?>
<ds:datastoreItem xmlns:ds="http://schemas.openxmlformats.org/officeDocument/2006/customXml" ds:itemID="{A8896D23-4AFE-4A15-9694-8B797843328B}">
  <ds:schemaRefs/>
</ds:datastoreItem>
</file>

<file path=customXml/itemProps21.xml><?xml version="1.0" encoding="utf-8"?>
<ds:datastoreItem xmlns:ds="http://schemas.openxmlformats.org/officeDocument/2006/customXml" ds:itemID="{A0474627-B8AD-427B-B1D0-ECB4916AC22C}">
  <ds:schemaRefs/>
</ds:datastoreItem>
</file>

<file path=customXml/itemProps22.xml><?xml version="1.0" encoding="utf-8"?>
<ds:datastoreItem xmlns:ds="http://schemas.openxmlformats.org/officeDocument/2006/customXml" ds:itemID="{827EB16C-4450-420E-8407-4FE4F651F70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THỐNG KÊ</vt:lpstr>
      <vt:lpstr>CHI</vt:lpstr>
      <vt:lpstr>2023</vt:lpstr>
      <vt:lpstr>2024</vt:lpstr>
      <vt:lpstr>2025</vt:lpstr>
      <vt:lpstr>2026</vt:lpstr>
      <vt:lpstr>2027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LTC</dc:creator>
  <cp:lastModifiedBy>LTC</cp:lastModifiedBy>
  <dcterms:created xsi:type="dcterms:W3CDTF">2024-05-02T06:50:11Z</dcterms:created>
  <dcterms:modified xsi:type="dcterms:W3CDTF">2024-05-03T12:36:26Z</dcterms:modified>
</cp:coreProperties>
</file>